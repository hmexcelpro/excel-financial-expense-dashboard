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DE5B1CEE-B2D1-F041-92C3-15C34B018F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تراکنش‌ها" sheetId="1" r:id="rId1"/>
    <sheet name="بودجه" sheetId="2" r:id="rId2"/>
    <sheet name="داشبورد مالی" sheetId="3" r:id="rId3"/>
    <sheet name="ورود داده" sheetId="4" r:id="rId4"/>
    <sheet name="راهنما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C18" i="3"/>
  <c r="B18" i="3"/>
  <c r="C17" i="3"/>
  <c r="B17" i="3"/>
  <c r="C16" i="3"/>
  <c r="B16" i="3"/>
  <c r="C7" i="2"/>
  <c r="D7" i="2"/>
  <c r="H15" i="3"/>
  <c r="G15" i="3"/>
  <c r="F15" i="3"/>
  <c r="C15" i="3"/>
  <c r="B15" i="3"/>
  <c r="C6" i="2"/>
  <c r="D6" i="2"/>
  <c r="H14" i="3"/>
  <c r="G14" i="3"/>
  <c r="F14" i="3"/>
  <c r="C14" i="3"/>
  <c r="B14" i="3"/>
  <c r="C5" i="2"/>
  <c r="D5" i="2"/>
  <c r="H13" i="3"/>
  <c r="G13" i="3"/>
  <c r="F13" i="3"/>
  <c r="C13" i="3"/>
  <c r="B13" i="3"/>
  <c r="C4" i="2"/>
  <c r="D4" i="2"/>
  <c r="H12" i="3"/>
  <c r="G12" i="3"/>
  <c r="F12" i="3"/>
  <c r="C12" i="3"/>
  <c r="B12" i="3"/>
  <c r="C3" i="2"/>
  <c r="D3" i="2"/>
  <c r="H11" i="3"/>
  <c r="G11" i="3"/>
  <c r="F11" i="3"/>
  <c r="C11" i="3"/>
  <c r="B11" i="3"/>
  <c r="C2" i="2"/>
  <c r="D2" i="2"/>
  <c r="H10" i="3"/>
  <c r="G10" i="3"/>
  <c r="F10" i="3"/>
  <c r="C10" i="3"/>
  <c r="B10" i="3"/>
  <c r="J5" i="3"/>
  <c r="G5" i="3"/>
  <c r="D5" i="3"/>
  <c r="A5" i="3"/>
</calcChain>
</file>

<file path=xl/sharedStrings.xml><?xml version="1.0" encoding="utf-8"?>
<sst xmlns="http://schemas.openxmlformats.org/spreadsheetml/2006/main" count="196" uniqueCount="48">
  <si>
    <t>تاریخ</t>
  </si>
  <si>
    <t>نوع</t>
  </si>
  <si>
    <t>دسته‌بندی</t>
  </si>
  <si>
    <t>شرح</t>
  </si>
  <si>
    <t>مبلغ</t>
  </si>
  <si>
    <t>Income</t>
  </si>
  <si>
    <t>Sales</t>
  </si>
  <si>
    <t>Sales revenue</t>
  </si>
  <si>
    <t>Expense</t>
  </si>
  <si>
    <t>Marketing</t>
  </si>
  <si>
    <t>Marketing expense</t>
  </si>
  <si>
    <t>Utilities</t>
  </si>
  <si>
    <t>Utilities expense</t>
  </si>
  <si>
    <t>Consulting</t>
  </si>
  <si>
    <t>Consulting revenue</t>
  </si>
  <si>
    <t>Transport</t>
  </si>
  <si>
    <t>Transport expense</t>
  </si>
  <si>
    <t>Office</t>
  </si>
  <si>
    <t>Office expense</t>
  </si>
  <si>
    <t>Services</t>
  </si>
  <si>
    <t>Services revenue</t>
  </si>
  <si>
    <t>بودجه سالانه</t>
  </si>
  <si>
    <t>هزینه واقعی</t>
  </si>
  <si>
    <t>انحراف بودجه</t>
  </si>
  <si>
    <t>Rent</t>
  </si>
  <si>
    <t>Software</t>
  </si>
  <si>
    <t>HMexcelpro | داشبورد مالی و هزینه‌ها</t>
  </si>
  <si>
    <t>کل درآمد</t>
  </si>
  <si>
    <t>کل هزینه</t>
  </si>
  <si>
    <t>سود خالص</t>
  </si>
  <si>
    <t>حاشیه سود</t>
  </si>
  <si>
    <t>ماه</t>
  </si>
  <si>
    <t>درآمد</t>
  </si>
  <si>
    <t>هزینه</t>
  </si>
  <si>
    <t>ورود تراکنش مالی</t>
  </si>
  <si>
    <t>راهنمای داشبورد مالی HMexcelpro</t>
  </si>
  <si>
    <t>هدف</t>
  </si>
  <si>
    <t>نمونه‌کار حرفه‌ای Excel برای تحلیل درآمد، هزینه، سود و بودجه.</t>
  </si>
  <si>
    <t>تراکنش‌ها</t>
  </si>
  <si>
    <t>اطلاعات درآمد و هزینه در این بخش ثبت و نگهداری می‌شود.</t>
  </si>
  <si>
    <t>بودجه</t>
  </si>
  <si>
    <t>بودجه سالانه با هزینه واقعی مقایسه می‌شود.</t>
  </si>
  <si>
    <t>داشبورد</t>
  </si>
  <si>
    <t>شاخص‌های کلیدی، روند ماهانه و مقایسه بودجه را نمایش می‌دهد.</t>
  </si>
  <si>
    <t>ورود داده</t>
  </si>
  <si>
    <t>فرم ساده برای آماده‌سازی تراکنش‌های جدید.</t>
  </si>
  <si>
    <t>نکته</t>
  </si>
  <si>
    <t>داده‌های این فایل آزمایشی و مخصوص نمونه‌کار هستند.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</si>
</sst>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3" fontId="0" fillId="0" borderId="0" xfId="0" applyNumberFormat="1" applyFont="1" applyFill="1" applyBorder="1"/>
    <xf numFmtId="166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165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درآمد و هزینه ماهانه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درآمد</c:v>
          </c:tx>
          <c:marker>
            <c:symbol val="none"/>
          </c:marker>
          <c:cat>
            <c:numRef>
              <c:f>'داشبورد مالی'!$A$10:$A$21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'داشبورد مالی'!$B$10:$B$21</c:f>
              <c:numCache>
                <c:formatCode>#,##0</c:formatCode>
                <c:ptCount val="12"/>
                <c:pt idx="0">
                  <c:v>7450</c:v>
                </c:pt>
                <c:pt idx="1">
                  <c:v>5300</c:v>
                </c:pt>
                <c:pt idx="2">
                  <c:v>8850</c:v>
                </c:pt>
                <c:pt idx="3">
                  <c:v>3550</c:v>
                </c:pt>
                <c:pt idx="4">
                  <c:v>7800</c:v>
                </c:pt>
                <c:pt idx="5">
                  <c:v>4250</c:v>
                </c:pt>
                <c:pt idx="6">
                  <c:v>5300</c:v>
                </c:pt>
                <c:pt idx="7">
                  <c:v>8850</c:v>
                </c:pt>
                <c:pt idx="8">
                  <c:v>3550</c:v>
                </c:pt>
                <c:pt idx="9">
                  <c:v>7800</c:v>
                </c:pt>
                <c:pt idx="10">
                  <c:v>4250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B9-4641-9F33-2B5176AEE432}"/>
            </c:ext>
          </c:extLst>
        </c:ser>
        <c:ser>
          <c:idx val="1"/>
          <c:order val="1"/>
          <c:tx>
            <c:v>هزینه</c:v>
          </c:tx>
          <c:marker>
            <c:symbol val="none"/>
          </c:marker>
          <c:cat>
            <c:numRef>
              <c:f>'داشبورد مالی'!$A$10:$A$21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'داشبورد مالی'!$C$10:$C$21</c:f>
              <c:numCache>
                <c:formatCode>#,##0</c:formatCode>
                <c:ptCount val="12"/>
                <c:pt idx="0">
                  <c:v>1715</c:v>
                </c:pt>
                <c:pt idx="1">
                  <c:v>2190</c:v>
                </c:pt>
                <c:pt idx="2">
                  <c:v>1175</c:v>
                </c:pt>
                <c:pt idx="3">
                  <c:v>2095</c:v>
                </c:pt>
                <c:pt idx="4">
                  <c:v>1810</c:v>
                </c:pt>
                <c:pt idx="5">
                  <c:v>2380</c:v>
                </c:pt>
                <c:pt idx="6">
                  <c:v>2095</c:v>
                </c:pt>
                <c:pt idx="7">
                  <c:v>1905</c:v>
                </c:pt>
                <c:pt idx="8">
                  <c:v>2380</c:v>
                </c:pt>
                <c:pt idx="9">
                  <c:v>1430</c:v>
                </c:pt>
                <c:pt idx="10">
                  <c:v>2665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B9-4641-9F33-2B5176AEE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بودجه در برابر هزینه واقعی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بودجه سالانه</c:v>
          </c:tx>
          <c:invertIfNegative val="1"/>
          <c:cat>
            <c:strRef>
              <c:f>'داشبورد مالی'!$E$10:$E$15</c:f>
              <c:strCache>
                <c:ptCount val="6"/>
                <c:pt idx="0">
                  <c:v>Rent</c:v>
                </c:pt>
                <c:pt idx="1">
                  <c:v>Marketing</c:v>
                </c:pt>
                <c:pt idx="2">
                  <c:v>Utilities</c:v>
                </c:pt>
                <c:pt idx="3">
                  <c:v>Software</c:v>
                </c:pt>
                <c:pt idx="4">
                  <c:v>Transport</c:v>
                </c:pt>
                <c:pt idx="5">
                  <c:v>Office</c:v>
                </c:pt>
              </c:strCache>
            </c:strRef>
          </c:cat>
          <c:val>
            <c:numRef>
              <c:f>'داشبورد مالی'!$F$10:$F$15</c:f>
              <c:numCache>
                <c:formatCode>#,##0</c:formatCode>
                <c:ptCount val="6"/>
                <c:pt idx="0">
                  <c:v>7200</c:v>
                </c:pt>
                <c:pt idx="1">
                  <c:v>5200</c:v>
                </c:pt>
                <c:pt idx="2">
                  <c:v>3600</c:v>
                </c:pt>
                <c:pt idx="3">
                  <c:v>4200</c:v>
                </c:pt>
                <c:pt idx="4">
                  <c:v>3000</c:v>
                </c:pt>
                <c:pt idx="5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9745-B7A4-6C8D94B93CEE}"/>
            </c:ext>
          </c:extLst>
        </c:ser>
        <c:ser>
          <c:idx val="1"/>
          <c:order val="1"/>
          <c:tx>
            <c:v>هزینه واقعی</c:v>
          </c:tx>
          <c:invertIfNegative val="1"/>
          <c:cat>
            <c:strRef>
              <c:f>'داشبورد مالی'!$E$10:$E$15</c:f>
              <c:strCache>
                <c:ptCount val="6"/>
                <c:pt idx="0">
                  <c:v>Rent</c:v>
                </c:pt>
                <c:pt idx="1">
                  <c:v>Marketing</c:v>
                </c:pt>
                <c:pt idx="2">
                  <c:v>Utilities</c:v>
                </c:pt>
                <c:pt idx="3">
                  <c:v>Software</c:v>
                </c:pt>
                <c:pt idx="4">
                  <c:v>Transport</c:v>
                </c:pt>
                <c:pt idx="5">
                  <c:v>Office</c:v>
                </c:pt>
              </c:strCache>
            </c:strRef>
          </c:cat>
          <c:val>
            <c:numRef>
              <c:f>'داشبورد مالی'!$G$10:$G$15</c:f>
              <c:numCache>
                <c:formatCode>#,##0</c:formatCode>
                <c:ptCount val="6"/>
                <c:pt idx="0">
                  <c:v>0</c:v>
                </c:pt>
                <c:pt idx="1">
                  <c:v>5840</c:v>
                </c:pt>
                <c:pt idx="2">
                  <c:v>5080</c:v>
                </c:pt>
                <c:pt idx="3">
                  <c:v>0</c:v>
                </c:pt>
                <c:pt idx="4">
                  <c:v>5080</c:v>
                </c:pt>
                <c:pt idx="5">
                  <c:v>5840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2-9745-B7A4-6C8D94B93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6.0078125" customWidth="1"/>
    <col min="4" max="4" width="23.9453125" customWidth="1"/>
    <col min="5" max="5" width="13.98828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46025</v>
      </c>
      <c r="B2" t="s">
        <v>5</v>
      </c>
      <c r="C2" t="s">
        <v>6</v>
      </c>
      <c r="D2" t="s">
        <v>7</v>
      </c>
      <c r="E2" s="4">
        <v>3200</v>
      </c>
    </row>
    <row r="3" spans="1:5" x14ac:dyDescent="0.2">
      <c r="A3" s="3">
        <v>46032</v>
      </c>
      <c r="B3" t="s">
        <v>8</v>
      </c>
      <c r="C3" t="s">
        <v>9</v>
      </c>
      <c r="D3" t="s">
        <v>10</v>
      </c>
      <c r="E3" s="4">
        <v>445</v>
      </c>
    </row>
    <row r="4" spans="1:5" x14ac:dyDescent="0.2">
      <c r="A4" s="3">
        <v>46039</v>
      </c>
      <c r="B4" t="s">
        <v>8</v>
      </c>
      <c r="C4" t="s">
        <v>11</v>
      </c>
      <c r="D4" t="s">
        <v>12</v>
      </c>
      <c r="E4" s="4">
        <v>540</v>
      </c>
    </row>
    <row r="5" spans="1:5" x14ac:dyDescent="0.2">
      <c r="A5" s="3">
        <v>46046</v>
      </c>
      <c r="B5" t="s">
        <v>5</v>
      </c>
      <c r="C5" t="s">
        <v>13</v>
      </c>
      <c r="D5" t="s">
        <v>14</v>
      </c>
      <c r="E5" s="4">
        <v>4250</v>
      </c>
    </row>
    <row r="6" spans="1:5" x14ac:dyDescent="0.2">
      <c r="A6" s="3">
        <v>46053</v>
      </c>
      <c r="B6" t="s">
        <v>8</v>
      </c>
      <c r="C6" t="s">
        <v>15</v>
      </c>
      <c r="D6" t="s">
        <v>16</v>
      </c>
      <c r="E6" s="4">
        <v>730</v>
      </c>
    </row>
    <row r="7" spans="1:5" x14ac:dyDescent="0.2">
      <c r="A7" s="3">
        <v>46060</v>
      </c>
      <c r="B7" t="s">
        <v>8</v>
      </c>
      <c r="C7" t="s">
        <v>17</v>
      </c>
      <c r="D7" t="s">
        <v>18</v>
      </c>
      <c r="E7" s="4">
        <v>825</v>
      </c>
    </row>
    <row r="8" spans="1:5" x14ac:dyDescent="0.2">
      <c r="A8" s="3">
        <v>46067</v>
      </c>
      <c r="B8" t="s">
        <v>5</v>
      </c>
      <c r="C8" t="s">
        <v>19</v>
      </c>
      <c r="D8" t="s">
        <v>20</v>
      </c>
      <c r="E8" s="4">
        <v>5300</v>
      </c>
    </row>
    <row r="9" spans="1:5" x14ac:dyDescent="0.2">
      <c r="A9" s="3">
        <v>46074</v>
      </c>
      <c r="B9" t="s">
        <v>8</v>
      </c>
      <c r="C9" t="s">
        <v>9</v>
      </c>
      <c r="D9" t="s">
        <v>10</v>
      </c>
      <c r="E9" s="4">
        <v>1015</v>
      </c>
    </row>
    <row r="10" spans="1:5" x14ac:dyDescent="0.2">
      <c r="A10" s="3">
        <v>46081</v>
      </c>
      <c r="B10" t="s">
        <v>8</v>
      </c>
      <c r="C10" t="s">
        <v>11</v>
      </c>
      <c r="D10" t="s">
        <v>12</v>
      </c>
      <c r="E10" s="4">
        <v>350</v>
      </c>
    </row>
    <row r="11" spans="1:5" x14ac:dyDescent="0.2">
      <c r="A11" s="3">
        <v>46088</v>
      </c>
      <c r="B11" t="s">
        <v>5</v>
      </c>
      <c r="C11" t="s">
        <v>6</v>
      </c>
      <c r="D11" t="s">
        <v>7</v>
      </c>
      <c r="E11" s="4">
        <v>3900</v>
      </c>
    </row>
    <row r="12" spans="1:5" x14ac:dyDescent="0.2">
      <c r="A12" s="3">
        <v>46095</v>
      </c>
      <c r="B12" t="s">
        <v>8</v>
      </c>
      <c r="C12" t="s">
        <v>15</v>
      </c>
      <c r="D12" t="s">
        <v>16</v>
      </c>
      <c r="E12" s="4">
        <v>540</v>
      </c>
    </row>
    <row r="13" spans="1:5" x14ac:dyDescent="0.2">
      <c r="A13" s="3">
        <v>46102</v>
      </c>
      <c r="B13" t="s">
        <v>8</v>
      </c>
      <c r="C13" t="s">
        <v>17</v>
      </c>
      <c r="D13" t="s">
        <v>18</v>
      </c>
      <c r="E13" s="4">
        <v>635</v>
      </c>
    </row>
    <row r="14" spans="1:5" x14ac:dyDescent="0.2">
      <c r="A14" s="3">
        <v>46109</v>
      </c>
      <c r="B14" t="s">
        <v>5</v>
      </c>
      <c r="C14" t="s">
        <v>13</v>
      </c>
      <c r="D14" t="s">
        <v>14</v>
      </c>
      <c r="E14" s="4">
        <v>4950</v>
      </c>
    </row>
    <row r="15" spans="1:5" x14ac:dyDescent="0.2">
      <c r="A15" s="3">
        <v>46116</v>
      </c>
      <c r="B15" t="s">
        <v>8</v>
      </c>
      <c r="C15" t="s">
        <v>9</v>
      </c>
      <c r="D15" t="s">
        <v>10</v>
      </c>
      <c r="E15" s="4">
        <v>825</v>
      </c>
    </row>
    <row r="16" spans="1:5" x14ac:dyDescent="0.2">
      <c r="A16" s="3">
        <v>46123</v>
      </c>
      <c r="B16" t="s">
        <v>8</v>
      </c>
      <c r="C16" t="s">
        <v>11</v>
      </c>
      <c r="D16" t="s">
        <v>12</v>
      </c>
      <c r="E16" s="4">
        <v>920</v>
      </c>
    </row>
    <row r="17" spans="1:5" x14ac:dyDescent="0.2">
      <c r="A17" s="3">
        <v>46130</v>
      </c>
      <c r="B17" t="s">
        <v>5</v>
      </c>
      <c r="C17" t="s">
        <v>19</v>
      </c>
      <c r="D17" t="s">
        <v>20</v>
      </c>
      <c r="E17" s="4">
        <v>3550</v>
      </c>
    </row>
    <row r="18" spans="1:5" x14ac:dyDescent="0.2">
      <c r="A18" s="3">
        <v>46137</v>
      </c>
      <c r="B18" t="s">
        <v>8</v>
      </c>
      <c r="C18" t="s">
        <v>15</v>
      </c>
      <c r="D18" t="s">
        <v>16</v>
      </c>
      <c r="E18" s="4">
        <v>350</v>
      </c>
    </row>
    <row r="19" spans="1:5" x14ac:dyDescent="0.2">
      <c r="A19" s="3">
        <v>46144</v>
      </c>
      <c r="B19" t="s">
        <v>8</v>
      </c>
      <c r="C19" t="s">
        <v>17</v>
      </c>
      <c r="D19" t="s">
        <v>18</v>
      </c>
      <c r="E19" s="4">
        <v>445</v>
      </c>
    </row>
    <row r="20" spans="1:5" x14ac:dyDescent="0.2">
      <c r="A20" s="3">
        <v>46151</v>
      </c>
      <c r="B20" t="s">
        <v>5</v>
      </c>
      <c r="C20" t="s">
        <v>6</v>
      </c>
      <c r="D20" t="s">
        <v>7</v>
      </c>
      <c r="E20" s="4">
        <v>4600</v>
      </c>
    </row>
    <row r="21" spans="1:5" x14ac:dyDescent="0.2">
      <c r="A21" s="3">
        <v>46158</v>
      </c>
      <c r="B21" t="s">
        <v>8</v>
      </c>
      <c r="C21" t="s">
        <v>9</v>
      </c>
      <c r="D21" t="s">
        <v>10</v>
      </c>
      <c r="E21" s="4">
        <v>635</v>
      </c>
    </row>
    <row r="22" spans="1:5" x14ac:dyDescent="0.2">
      <c r="A22" s="3">
        <v>46165</v>
      </c>
      <c r="B22" t="s">
        <v>8</v>
      </c>
      <c r="C22" t="s">
        <v>11</v>
      </c>
      <c r="D22" t="s">
        <v>12</v>
      </c>
      <c r="E22" s="4">
        <v>730</v>
      </c>
    </row>
    <row r="23" spans="1:5" x14ac:dyDescent="0.2">
      <c r="A23" s="3">
        <v>46172</v>
      </c>
      <c r="B23" t="s">
        <v>5</v>
      </c>
      <c r="C23" t="s">
        <v>13</v>
      </c>
      <c r="D23" t="s">
        <v>14</v>
      </c>
      <c r="E23" s="4">
        <v>3200</v>
      </c>
    </row>
    <row r="24" spans="1:5" x14ac:dyDescent="0.2">
      <c r="A24" s="3">
        <v>46179</v>
      </c>
      <c r="B24" t="s">
        <v>8</v>
      </c>
      <c r="C24" t="s">
        <v>15</v>
      </c>
      <c r="D24" t="s">
        <v>16</v>
      </c>
      <c r="E24" s="4">
        <v>920</v>
      </c>
    </row>
    <row r="25" spans="1:5" x14ac:dyDescent="0.2">
      <c r="A25" s="3">
        <v>46186</v>
      </c>
      <c r="B25" t="s">
        <v>8</v>
      </c>
      <c r="C25" t="s">
        <v>17</v>
      </c>
      <c r="D25" t="s">
        <v>18</v>
      </c>
      <c r="E25" s="4">
        <v>1015</v>
      </c>
    </row>
    <row r="26" spans="1:5" x14ac:dyDescent="0.2">
      <c r="A26" s="3">
        <v>46193</v>
      </c>
      <c r="B26" t="s">
        <v>5</v>
      </c>
      <c r="C26" t="s">
        <v>19</v>
      </c>
      <c r="D26" t="s">
        <v>20</v>
      </c>
      <c r="E26" s="4">
        <v>4250</v>
      </c>
    </row>
    <row r="27" spans="1:5" x14ac:dyDescent="0.2">
      <c r="A27" s="3">
        <v>46200</v>
      </c>
      <c r="B27" t="s">
        <v>8</v>
      </c>
      <c r="C27" t="s">
        <v>9</v>
      </c>
      <c r="D27" t="s">
        <v>10</v>
      </c>
      <c r="E27" s="4">
        <v>445</v>
      </c>
    </row>
    <row r="28" spans="1:5" x14ac:dyDescent="0.2">
      <c r="A28" s="3">
        <v>46207</v>
      </c>
      <c r="B28" t="s">
        <v>8</v>
      </c>
      <c r="C28" t="s">
        <v>11</v>
      </c>
      <c r="D28" t="s">
        <v>12</v>
      </c>
      <c r="E28" s="4">
        <v>540</v>
      </c>
    </row>
    <row r="29" spans="1:5" x14ac:dyDescent="0.2">
      <c r="A29" s="3">
        <v>46214</v>
      </c>
      <c r="B29" t="s">
        <v>5</v>
      </c>
      <c r="C29" t="s">
        <v>6</v>
      </c>
      <c r="D29" t="s">
        <v>7</v>
      </c>
      <c r="E29" s="4">
        <v>5300</v>
      </c>
    </row>
    <row r="30" spans="1:5" x14ac:dyDescent="0.2">
      <c r="A30" s="3">
        <v>46221</v>
      </c>
      <c r="B30" t="s">
        <v>8</v>
      </c>
      <c r="C30" t="s">
        <v>15</v>
      </c>
      <c r="D30" t="s">
        <v>16</v>
      </c>
      <c r="E30" s="4">
        <v>730</v>
      </c>
    </row>
    <row r="31" spans="1:5" x14ac:dyDescent="0.2">
      <c r="A31" s="3">
        <v>46228</v>
      </c>
      <c r="B31" t="s">
        <v>8</v>
      </c>
      <c r="C31" t="s">
        <v>17</v>
      </c>
      <c r="D31" t="s">
        <v>18</v>
      </c>
      <c r="E31" s="4">
        <v>825</v>
      </c>
    </row>
    <row r="32" spans="1:5" x14ac:dyDescent="0.2">
      <c r="A32" s="3">
        <v>46235</v>
      </c>
      <c r="B32" t="s">
        <v>5</v>
      </c>
      <c r="C32" t="s">
        <v>13</v>
      </c>
      <c r="D32" t="s">
        <v>14</v>
      </c>
      <c r="E32" s="4">
        <v>3900</v>
      </c>
    </row>
    <row r="33" spans="1:5" x14ac:dyDescent="0.2">
      <c r="A33" s="3">
        <v>46242</v>
      </c>
      <c r="B33" t="s">
        <v>8</v>
      </c>
      <c r="C33" t="s">
        <v>9</v>
      </c>
      <c r="D33" t="s">
        <v>10</v>
      </c>
      <c r="E33" s="4">
        <v>1015</v>
      </c>
    </row>
    <row r="34" spans="1:5" x14ac:dyDescent="0.2">
      <c r="A34" s="3">
        <v>46249</v>
      </c>
      <c r="B34" t="s">
        <v>8</v>
      </c>
      <c r="C34" t="s">
        <v>11</v>
      </c>
      <c r="D34" t="s">
        <v>12</v>
      </c>
      <c r="E34" s="4">
        <v>350</v>
      </c>
    </row>
    <row r="35" spans="1:5" x14ac:dyDescent="0.2">
      <c r="A35" s="3">
        <v>46256</v>
      </c>
      <c r="B35" t="s">
        <v>5</v>
      </c>
      <c r="C35" t="s">
        <v>19</v>
      </c>
      <c r="D35" t="s">
        <v>20</v>
      </c>
      <c r="E35" s="4">
        <v>4950</v>
      </c>
    </row>
    <row r="36" spans="1:5" x14ac:dyDescent="0.2">
      <c r="A36" s="3">
        <v>46263</v>
      </c>
      <c r="B36" t="s">
        <v>8</v>
      </c>
      <c r="C36" t="s">
        <v>15</v>
      </c>
      <c r="D36" t="s">
        <v>16</v>
      </c>
      <c r="E36" s="4">
        <v>540</v>
      </c>
    </row>
    <row r="37" spans="1:5" x14ac:dyDescent="0.2">
      <c r="A37" s="3">
        <v>46270</v>
      </c>
      <c r="B37" t="s">
        <v>8</v>
      </c>
      <c r="C37" t="s">
        <v>17</v>
      </c>
      <c r="D37" t="s">
        <v>18</v>
      </c>
      <c r="E37" s="4">
        <v>635</v>
      </c>
    </row>
    <row r="38" spans="1:5" x14ac:dyDescent="0.2">
      <c r="A38" s="3">
        <v>46277</v>
      </c>
      <c r="B38" t="s">
        <v>5</v>
      </c>
      <c r="C38" t="s">
        <v>6</v>
      </c>
      <c r="D38" t="s">
        <v>7</v>
      </c>
      <c r="E38" s="4">
        <v>3550</v>
      </c>
    </row>
    <row r="39" spans="1:5" x14ac:dyDescent="0.2">
      <c r="A39" s="3">
        <v>46284</v>
      </c>
      <c r="B39" t="s">
        <v>8</v>
      </c>
      <c r="C39" t="s">
        <v>9</v>
      </c>
      <c r="D39" t="s">
        <v>10</v>
      </c>
      <c r="E39" s="4">
        <v>825</v>
      </c>
    </row>
    <row r="40" spans="1:5" x14ac:dyDescent="0.2">
      <c r="A40" s="3">
        <v>46291</v>
      </c>
      <c r="B40" t="s">
        <v>8</v>
      </c>
      <c r="C40" t="s">
        <v>11</v>
      </c>
      <c r="D40" t="s">
        <v>12</v>
      </c>
      <c r="E40" s="4">
        <v>920</v>
      </c>
    </row>
    <row r="41" spans="1:5" x14ac:dyDescent="0.2">
      <c r="A41" s="3">
        <v>46298</v>
      </c>
      <c r="B41" t="s">
        <v>5</v>
      </c>
      <c r="C41" t="s">
        <v>13</v>
      </c>
      <c r="D41" t="s">
        <v>14</v>
      </c>
      <c r="E41" s="4">
        <v>4600</v>
      </c>
    </row>
    <row r="42" spans="1:5" x14ac:dyDescent="0.2">
      <c r="A42" s="3">
        <v>46305</v>
      </c>
      <c r="B42" t="s">
        <v>8</v>
      </c>
      <c r="C42" t="s">
        <v>15</v>
      </c>
      <c r="D42" t="s">
        <v>16</v>
      </c>
      <c r="E42" s="4">
        <v>350</v>
      </c>
    </row>
    <row r="43" spans="1:5" x14ac:dyDescent="0.2">
      <c r="A43" s="3">
        <v>46312</v>
      </c>
      <c r="B43" t="s">
        <v>8</v>
      </c>
      <c r="C43" t="s">
        <v>17</v>
      </c>
      <c r="D43" t="s">
        <v>18</v>
      </c>
      <c r="E43" s="4">
        <v>445</v>
      </c>
    </row>
    <row r="44" spans="1:5" x14ac:dyDescent="0.2">
      <c r="A44" s="3">
        <v>46319</v>
      </c>
      <c r="B44" t="s">
        <v>5</v>
      </c>
      <c r="C44" t="s">
        <v>19</v>
      </c>
      <c r="D44" t="s">
        <v>20</v>
      </c>
      <c r="E44" s="4">
        <v>3200</v>
      </c>
    </row>
    <row r="45" spans="1:5" x14ac:dyDescent="0.2">
      <c r="A45" s="3">
        <v>46326</v>
      </c>
      <c r="B45" t="s">
        <v>8</v>
      </c>
      <c r="C45" t="s">
        <v>9</v>
      </c>
      <c r="D45" t="s">
        <v>10</v>
      </c>
      <c r="E45" s="4">
        <v>635</v>
      </c>
    </row>
    <row r="46" spans="1:5" x14ac:dyDescent="0.2">
      <c r="A46" s="3">
        <v>46333</v>
      </c>
      <c r="B46" t="s">
        <v>8</v>
      </c>
      <c r="C46" t="s">
        <v>11</v>
      </c>
      <c r="D46" t="s">
        <v>12</v>
      </c>
      <c r="E46" s="4">
        <v>730</v>
      </c>
    </row>
    <row r="47" spans="1:5" x14ac:dyDescent="0.2">
      <c r="A47" s="3">
        <v>46340</v>
      </c>
      <c r="B47" t="s">
        <v>5</v>
      </c>
      <c r="C47" t="s">
        <v>6</v>
      </c>
      <c r="D47" t="s">
        <v>7</v>
      </c>
      <c r="E47" s="4">
        <v>4250</v>
      </c>
    </row>
    <row r="48" spans="1:5" x14ac:dyDescent="0.2">
      <c r="A48" s="3">
        <v>46347</v>
      </c>
      <c r="B48" t="s">
        <v>8</v>
      </c>
      <c r="C48" t="s">
        <v>15</v>
      </c>
      <c r="D48" t="s">
        <v>16</v>
      </c>
      <c r="E48" s="4">
        <v>920</v>
      </c>
    </row>
    <row r="49" spans="1:5" x14ac:dyDescent="0.2">
      <c r="A49" s="3">
        <v>46354</v>
      </c>
      <c r="B49" t="s">
        <v>8</v>
      </c>
      <c r="C49" t="s">
        <v>17</v>
      </c>
      <c r="D49" t="s">
        <v>18</v>
      </c>
      <c r="E49" s="4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60" zoomScaleSheetLayoutView="100" workbookViewId="0"/>
  </sheetViews>
  <sheetFormatPr defaultRowHeight="15" x14ac:dyDescent="0.2"/>
  <cols>
    <col min="1" max="4" width="18.0234375" customWidth="1"/>
  </cols>
  <sheetData>
    <row r="1" spans="1:4" x14ac:dyDescent="0.2">
      <c r="A1" s="1" t="s">
        <v>2</v>
      </c>
      <c r="B1" s="1" t="s">
        <v>21</v>
      </c>
      <c r="C1" s="1" t="s">
        <v>22</v>
      </c>
      <c r="D1" s="1" t="s">
        <v>23</v>
      </c>
    </row>
    <row r="2" spans="1:4" x14ac:dyDescent="0.2">
      <c r="A2" t="s">
        <v>24</v>
      </c>
      <c r="B2" s="4">
        <v>7200</v>
      </c>
      <c r="C2" s="4">
        <f>SUMIFS(تراکنش‌ها!$E$2:$E$49,تراکنش‌ها!$B$2:$B$49,"Expense",تراکنش‌ها!$C$2:$C$49,A2)</f>
        <v>0</v>
      </c>
      <c r="D2" s="4">
        <f>B2-C2</f>
        <v>7200</v>
      </c>
    </row>
    <row r="3" spans="1:4" x14ac:dyDescent="0.2">
      <c r="A3" t="s">
        <v>9</v>
      </c>
      <c r="B3" s="4">
        <v>5200</v>
      </c>
      <c r="C3" s="4">
        <f>SUMIFS(تراکنش‌ها!$E$2:$E$49,تراکنش‌ها!$B$2:$B$49,"Expense",تراکنش‌ها!$C$2:$C$49,A3)</f>
        <v>5840</v>
      </c>
      <c r="D3" s="4">
        <f>B3-C3</f>
        <v>-640</v>
      </c>
    </row>
    <row r="4" spans="1:4" x14ac:dyDescent="0.2">
      <c r="A4" t="s">
        <v>11</v>
      </c>
      <c r="B4" s="4">
        <v>3600</v>
      </c>
      <c r="C4" s="4">
        <f>SUMIFS(تراکنش‌ها!$E$2:$E$49,تراکنش‌ها!$B$2:$B$49,"Expense",تراکنش‌ها!$C$2:$C$49,A4)</f>
        <v>5080</v>
      </c>
      <c r="D4" s="4">
        <f>B4-C4</f>
        <v>-1480</v>
      </c>
    </row>
    <row r="5" spans="1:4" x14ac:dyDescent="0.2">
      <c r="A5" t="s">
        <v>25</v>
      </c>
      <c r="B5" s="4">
        <v>4200</v>
      </c>
      <c r="C5" s="4">
        <f>SUMIFS(تراکنش‌ها!$E$2:$E$49,تراکنش‌ها!$B$2:$B$49,"Expense",تراکنش‌ها!$C$2:$C$49,A5)</f>
        <v>0</v>
      </c>
      <c r="D5" s="4">
        <f>B5-C5</f>
        <v>4200</v>
      </c>
    </row>
    <row r="6" spans="1:4" x14ac:dyDescent="0.2">
      <c r="A6" t="s">
        <v>15</v>
      </c>
      <c r="B6" s="4">
        <v>3000</v>
      </c>
      <c r="C6" s="4">
        <f>SUMIFS(تراکنش‌ها!$E$2:$E$49,تراکنش‌ها!$B$2:$B$49,"Expense",تراکنش‌ها!$C$2:$C$49,A6)</f>
        <v>5080</v>
      </c>
      <c r="D6" s="4">
        <f>B6-C6</f>
        <v>-2080</v>
      </c>
    </row>
    <row r="7" spans="1:4" x14ac:dyDescent="0.2">
      <c r="A7" t="s">
        <v>17</v>
      </c>
      <c r="B7" s="4">
        <v>2600</v>
      </c>
      <c r="C7" s="4">
        <f>SUMIFS(تراکنش‌ها!$E$2:$E$49,تراکنش‌ها!$B$2:$B$49,"Expense",تراکنش‌ها!$C$2:$C$49,A7)</f>
        <v>5840</v>
      </c>
      <c r="D7" s="4">
        <f>B7-C7</f>
        <v>-3240</v>
      </c>
    </row>
  </sheetData>
  <conditionalFormatting sqref="D2:D7">
    <cfRule type="expression" dxfId="0" priority="1">
      <formula>D2&lt;0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Normal="60" zoomScaleSheetLayoutView="100" workbookViewId="0"/>
  </sheetViews>
  <sheetFormatPr defaultRowHeight="15" x14ac:dyDescent="0.2"/>
  <cols>
    <col min="1" max="12" width="13.046875" customWidth="1"/>
  </cols>
  <sheetData>
    <row r="1" spans="1:12" x14ac:dyDescent="0.2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0" t="s">
        <v>27</v>
      </c>
      <c r="B4" s="10"/>
      <c r="C4" s="10"/>
      <c r="D4" s="10" t="s">
        <v>28</v>
      </c>
      <c r="E4" s="10"/>
      <c r="F4" s="10"/>
      <c r="G4" s="10" t="s">
        <v>29</v>
      </c>
      <c r="H4" s="10"/>
      <c r="I4" s="10"/>
      <c r="J4" s="10" t="s">
        <v>30</v>
      </c>
      <c r="K4" s="10"/>
      <c r="L4" s="10"/>
    </row>
    <row r="5" spans="1:12" x14ac:dyDescent="0.2">
      <c r="A5" s="11">
        <f>SUMIF(تراکنش‌ها!$B$2:$B$49,"Income",تراکنش‌ها!$E$2:$E$49)</f>
        <v>66950</v>
      </c>
      <c r="B5" s="11"/>
      <c r="C5" s="11"/>
      <c r="D5" s="11">
        <f>SUMIF(تراکنش‌ها!$B$2:$B$49,"Expense",تراکنش‌ها!$E$2:$E$49)</f>
        <v>21840</v>
      </c>
      <c r="E5" s="11"/>
      <c r="F5" s="11"/>
      <c r="G5" s="11">
        <f>SUMIF(تراکنش‌ها!$B$2:$B$49,"Income",تراکنش‌ها!$E$2:$E$49)-SUMIF(تراکنش‌ها!$B$2:$B$49,"Expense",تراکنش‌ها!$E$2:$E$49)</f>
        <v>45110</v>
      </c>
      <c r="H5" s="11"/>
      <c r="I5" s="11"/>
      <c r="J5" s="12">
        <f>IFERROR((SUMIF(تراکنش‌ها!$B$2:$B$49,"Income",تراکنش‌ها!$E$2:$E$49)-SUMIF(تراکنش‌ها!$B$2:$B$49,"Expense",تراکنش‌ها!$E$2:$E$49))/SUMIF(تراکنش‌ها!$B$2:$B$49,"Income",تراکنش‌ها!$E$2:$E$49),0)</f>
        <v>0.67378640776699028</v>
      </c>
      <c r="K5" s="12"/>
      <c r="L5" s="12"/>
    </row>
    <row r="6" spans="1:12" x14ac:dyDescent="0.2">
      <c r="A6" s="11"/>
      <c r="B6" s="11"/>
      <c r="C6" s="11"/>
      <c r="D6" s="11"/>
      <c r="E6" s="11"/>
      <c r="F6" s="11"/>
      <c r="G6" s="11"/>
      <c r="H6" s="11"/>
      <c r="I6" s="11"/>
      <c r="J6" s="12"/>
      <c r="K6" s="12"/>
      <c r="L6" s="12"/>
    </row>
    <row r="9" spans="1:12" x14ac:dyDescent="0.2">
      <c r="A9" s="1" t="s">
        <v>31</v>
      </c>
      <c r="B9" s="1" t="s">
        <v>32</v>
      </c>
      <c r="C9" s="1" t="s">
        <v>33</v>
      </c>
      <c r="E9" s="1" t="s">
        <v>2</v>
      </c>
      <c r="F9" s="1" t="s">
        <v>21</v>
      </c>
      <c r="G9" s="1" t="s">
        <v>22</v>
      </c>
      <c r="H9" s="1" t="s">
        <v>23</v>
      </c>
    </row>
    <row r="10" spans="1:12" x14ac:dyDescent="0.2">
      <c r="A10" s="5">
        <v>46023</v>
      </c>
      <c r="B10" s="4">
        <f>SUMIFS(تراکنش‌ها!$E$2:$E$49,تراکنش‌ها!$B$2:$B$49,"Income",تراکنش‌ها!$A$2:$A$49,"&gt;="&amp;A10,تراکنش‌ها!$A$2:$A$49,"&lt;"&amp;EDATE(A10,1))</f>
        <v>7450</v>
      </c>
      <c r="C10" s="4">
        <f>SUMIFS(تراکنش‌ها!$E$2:$E$49,تراکنش‌ها!$B$2:$B$49,"Expense",تراکنش‌ها!$A$2:$A$49,"&gt;="&amp;A10,تراکنش‌ها!$A$2:$A$49,"&lt;"&amp;EDATE(A10,1))</f>
        <v>1715</v>
      </c>
      <c r="E10" t="s">
        <v>24</v>
      </c>
      <c r="F10" s="4">
        <f>بودجه!B2</f>
        <v>7200</v>
      </c>
      <c r="G10" s="4">
        <f>بودجه!C2</f>
        <v>0</v>
      </c>
      <c r="H10" s="4">
        <f>بودجه!D2</f>
        <v>7200</v>
      </c>
    </row>
    <row r="11" spans="1:12" x14ac:dyDescent="0.2">
      <c r="A11" s="5">
        <v>46054</v>
      </c>
      <c r="B11" s="4">
        <f>SUMIFS(تراکنش‌ها!$E$2:$E$49,تراکنش‌ها!$B$2:$B$49,"Income",تراکنش‌ها!$A$2:$A$49,"&gt;="&amp;A11,تراکنش‌ها!$A$2:$A$49,"&lt;"&amp;EDATE(A11,1))</f>
        <v>5300</v>
      </c>
      <c r="C11" s="4">
        <f>SUMIFS(تراکنش‌ها!$E$2:$E$49,تراکنش‌ها!$B$2:$B$49,"Expense",تراکنش‌ها!$A$2:$A$49,"&gt;="&amp;A11,تراکنش‌ها!$A$2:$A$49,"&lt;"&amp;EDATE(A11,1))</f>
        <v>2190</v>
      </c>
      <c r="E11" t="s">
        <v>9</v>
      </c>
      <c r="F11" s="4">
        <f>بودجه!B3</f>
        <v>5200</v>
      </c>
      <c r="G11" s="4">
        <f>بودجه!C3</f>
        <v>5840</v>
      </c>
      <c r="H11" s="4">
        <f>بودجه!D3</f>
        <v>-640</v>
      </c>
    </row>
    <row r="12" spans="1:12" x14ac:dyDescent="0.2">
      <c r="A12" s="5">
        <v>46082</v>
      </c>
      <c r="B12" s="4">
        <f>SUMIFS(تراکنش‌ها!$E$2:$E$49,تراکنش‌ها!$B$2:$B$49,"Income",تراکنش‌ها!$A$2:$A$49,"&gt;="&amp;A12,تراکنش‌ها!$A$2:$A$49,"&lt;"&amp;EDATE(A12,1))</f>
        <v>8850</v>
      </c>
      <c r="C12" s="4">
        <f>SUMIFS(تراکنش‌ها!$E$2:$E$49,تراکنش‌ها!$B$2:$B$49,"Expense",تراکنش‌ها!$A$2:$A$49,"&gt;="&amp;A12,تراکنش‌ها!$A$2:$A$49,"&lt;"&amp;EDATE(A12,1))</f>
        <v>1175</v>
      </c>
      <c r="E12" t="s">
        <v>11</v>
      </c>
      <c r="F12" s="4">
        <f>بودجه!B4</f>
        <v>3600</v>
      </c>
      <c r="G12" s="4">
        <f>بودجه!C4</f>
        <v>5080</v>
      </c>
      <c r="H12" s="4">
        <f>بودجه!D4</f>
        <v>-1480</v>
      </c>
    </row>
    <row r="13" spans="1:12" x14ac:dyDescent="0.2">
      <c r="A13" s="5">
        <v>46113</v>
      </c>
      <c r="B13" s="4">
        <f>SUMIFS(تراکنش‌ها!$E$2:$E$49,تراکنش‌ها!$B$2:$B$49,"Income",تراکنش‌ها!$A$2:$A$49,"&gt;="&amp;A13,تراکنش‌ها!$A$2:$A$49,"&lt;"&amp;EDATE(A13,1))</f>
        <v>3550</v>
      </c>
      <c r="C13" s="4">
        <f>SUMIFS(تراکنش‌ها!$E$2:$E$49,تراکنش‌ها!$B$2:$B$49,"Expense",تراکنش‌ها!$A$2:$A$49,"&gt;="&amp;A13,تراکنش‌ها!$A$2:$A$49,"&lt;"&amp;EDATE(A13,1))</f>
        <v>2095</v>
      </c>
      <c r="E13" t="s">
        <v>25</v>
      </c>
      <c r="F13" s="4">
        <f>بودجه!B5</f>
        <v>4200</v>
      </c>
      <c r="G13" s="4">
        <f>بودجه!C5</f>
        <v>0</v>
      </c>
      <c r="H13" s="4">
        <f>بودجه!D5</f>
        <v>4200</v>
      </c>
    </row>
    <row r="14" spans="1:12" x14ac:dyDescent="0.2">
      <c r="A14" s="5">
        <v>46143</v>
      </c>
      <c r="B14" s="4">
        <f>SUMIFS(تراکنش‌ها!$E$2:$E$49,تراکنش‌ها!$B$2:$B$49,"Income",تراکنش‌ها!$A$2:$A$49,"&gt;="&amp;A14,تراکنش‌ها!$A$2:$A$49,"&lt;"&amp;EDATE(A14,1))</f>
        <v>7800</v>
      </c>
      <c r="C14" s="4">
        <f>SUMIFS(تراکنش‌ها!$E$2:$E$49,تراکنش‌ها!$B$2:$B$49,"Expense",تراکنش‌ها!$A$2:$A$49,"&gt;="&amp;A14,تراکنش‌ها!$A$2:$A$49,"&lt;"&amp;EDATE(A14,1))</f>
        <v>1810</v>
      </c>
      <c r="E14" t="s">
        <v>15</v>
      </c>
      <c r="F14" s="4">
        <f>بودجه!B6</f>
        <v>3000</v>
      </c>
      <c r="G14" s="4">
        <f>بودجه!C6</f>
        <v>5080</v>
      </c>
      <c r="H14" s="4">
        <f>بودجه!D6</f>
        <v>-2080</v>
      </c>
    </row>
    <row r="15" spans="1:12" x14ac:dyDescent="0.2">
      <c r="A15" s="5">
        <v>46174</v>
      </c>
      <c r="B15" s="4">
        <f>SUMIFS(تراکنش‌ها!$E$2:$E$49,تراکنش‌ها!$B$2:$B$49,"Income",تراکنش‌ها!$A$2:$A$49,"&gt;="&amp;A15,تراکنش‌ها!$A$2:$A$49,"&lt;"&amp;EDATE(A15,1))</f>
        <v>4250</v>
      </c>
      <c r="C15" s="4">
        <f>SUMIFS(تراکنش‌ها!$E$2:$E$49,تراکنش‌ها!$B$2:$B$49,"Expense",تراکنش‌ها!$A$2:$A$49,"&gt;="&amp;A15,تراکنش‌ها!$A$2:$A$49,"&lt;"&amp;EDATE(A15,1))</f>
        <v>2380</v>
      </c>
      <c r="E15" t="s">
        <v>17</v>
      </c>
      <c r="F15" s="4">
        <f>بودجه!B7</f>
        <v>2600</v>
      </c>
      <c r="G15" s="4">
        <f>بودجه!C7</f>
        <v>5840</v>
      </c>
      <c r="H15" s="4">
        <f>بودجه!D7</f>
        <v>-3240</v>
      </c>
    </row>
    <row r="16" spans="1:12" x14ac:dyDescent="0.2">
      <c r="A16" s="5">
        <v>46204</v>
      </c>
      <c r="B16" s="4">
        <f>SUMIFS(تراکنش‌ها!$E$2:$E$49,تراکنش‌ها!$B$2:$B$49,"Income",تراکنش‌ها!$A$2:$A$49,"&gt;="&amp;A16,تراکنش‌ها!$A$2:$A$49,"&lt;"&amp;EDATE(A16,1))</f>
        <v>5300</v>
      </c>
      <c r="C16" s="4">
        <f>SUMIFS(تراکنش‌ها!$E$2:$E$49,تراکنش‌ها!$B$2:$B$49,"Expense",تراکنش‌ها!$A$2:$A$49,"&gt;="&amp;A16,تراکنش‌ها!$A$2:$A$49,"&lt;"&amp;EDATE(A16,1))</f>
        <v>2095</v>
      </c>
    </row>
    <row r="17" spans="1:3" x14ac:dyDescent="0.2">
      <c r="A17" s="5">
        <v>46235</v>
      </c>
      <c r="B17" s="4">
        <f>SUMIFS(تراکنش‌ها!$E$2:$E$49,تراکنش‌ها!$B$2:$B$49,"Income",تراکنش‌ها!$A$2:$A$49,"&gt;="&amp;A17,تراکنش‌ها!$A$2:$A$49,"&lt;"&amp;EDATE(A17,1))</f>
        <v>8850</v>
      </c>
      <c r="C17" s="4">
        <f>SUMIFS(تراکنش‌ها!$E$2:$E$49,تراکنش‌ها!$B$2:$B$49,"Expense",تراکنش‌ها!$A$2:$A$49,"&gt;="&amp;A17,تراکنش‌ها!$A$2:$A$49,"&lt;"&amp;EDATE(A17,1))</f>
        <v>1905</v>
      </c>
    </row>
    <row r="18" spans="1:3" x14ac:dyDescent="0.2">
      <c r="A18" s="5">
        <v>46266</v>
      </c>
      <c r="B18" s="4">
        <f>SUMIFS(تراکنش‌ها!$E$2:$E$49,تراکنش‌ها!$B$2:$B$49,"Income",تراکنش‌ها!$A$2:$A$49,"&gt;="&amp;A18,تراکنش‌ها!$A$2:$A$49,"&lt;"&amp;EDATE(A18,1))</f>
        <v>3550</v>
      </c>
      <c r="C18" s="4">
        <f>SUMIFS(تراکنش‌ها!$E$2:$E$49,تراکنش‌ها!$B$2:$B$49,"Expense",تراکنش‌ها!$A$2:$A$49,"&gt;="&amp;A18,تراکنش‌ها!$A$2:$A$49,"&lt;"&amp;EDATE(A18,1))</f>
        <v>2380</v>
      </c>
    </row>
    <row r="19" spans="1:3" x14ac:dyDescent="0.2">
      <c r="A19" s="5">
        <v>46296</v>
      </c>
      <c r="B19" s="4">
        <f>SUMIFS(تراکنش‌ها!$E$2:$E$49,تراکنش‌ها!$B$2:$B$49,"Income",تراکنش‌ها!$A$2:$A$49,"&gt;="&amp;A19,تراکنش‌ها!$A$2:$A$49,"&lt;"&amp;EDATE(A19,1))</f>
        <v>7800</v>
      </c>
      <c r="C19" s="4">
        <f>SUMIFS(تراکنش‌ها!$E$2:$E$49,تراکنش‌ها!$B$2:$B$49,"Expense",تراکنش‌ها!$A$2:$A$49,"&gt;="&amp;A19,تراکنش‌ها!$A$2:$A$49,"&lt;"&amp;EDATE(A19,1))</f>
        <v>1430</v>
      </c>
    </row>
    <row r="20" spans="1:3" x14ac:dyDescent="0.2">
      <c r="A20" s="5">
        <v>46327</v>
      </c>
      <c r="B20" s="4">
        <f>SUMIFS(تراکنش‌ها!$E$2:$E$49,تراکنش‌ها!$B$2:$B$49,"Income",تراکنش‌ها!$A$2:$A$49,"&gt;="&amp;A20,تراکنش‌ها!$A$2:$A$49,"&lt;"&amp;EDATE(A20,1))</f>
        <v>4250</v>
      </c>
      <c r="C20" s="4">
        <f>SUMIFS(تراکنش‌ها!$E$2:$E$49,تراکنش‌ها!$B$2:$B$49,"Expense",تراکنش‌ها!$A$2:$A$49,"&gt;="&amp;A20,تراکنش‌ها!$A$2:$A$49,"&lt;"&amp;EDATE(A20,1))</f>
        <v>2665</v>
      </c>
    </row>
    <row r="21" spans="1:3" x14ac:dyDescent="0.2">
      <c r="A21" s="5">
        <v>46357</v>
      </c>
      <c r="B21" s="4">
        <f>SUMIFS(تراکنش‌ها!$E$2:$E$49,تراکنش‌ها!$B$2:$B$49,"Income",تراکنش‌ها!$A$2:$A$49,"&gt;="&amp;A21,تراکنش‌ها!$A$2:$A$49,"&lt;"&amp;EDATE(A21,1))</f>
        <v>0</v>
      </c>
      <c r="C21" s="4">
        <f>SUMIFS(تراکنش‌ها!$E$2:$E$49,تراکنش‌ها!$B$2:$B$49,"Expense",تراکنش‌ها!$A$2:$A$49,"&gt;="&amp;A21,تراکنش‌ها!$A$2:$A$49,"&lt;"&amp;EDATE(A21,1))</f>
        <v>0</v>
      </c>
    </row>
  </sheetData>
  <mergeCells count="9">
    <mergeCell ref="A1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60" zoomScaleSheetLayoutView="100" workbookViewId="0"/>
  </sheetViews>
  <sheetFormatPr defaultRowHeight="15" x14ac:dyDescent="0.2"/>
  <cols>
    <col min="1" max="2" width="13.98828125" customWidth="1"/>
    <col min="3" max="3" width="18.0234375" customWidth="1"/>
    <col min="4" max="4" width="27.98046875" customWidth="1"/>
    <col min="5" max="5" width="13.98828125" customWidth="1"/>
  </cols>
  <sheetData>
    <row r="1" spans="1:5" x14ac:dyDescent="0.2">
      <c r="A1" s="13" t="s">
        <v>34</v>
      </c>
      <c r="B1" s="13"/>
      <c r="C1" s="13"/>
      <c r="D1" s="13"/>
      <c r="E1" s="13"/>
    </row>
    <row r="2" spans="1:5" x14ac:dyDescent="0.2">
      <c r="A2" s="13"/>
      <c r="B2" s="13"/>
      <c r="C2" s="13"/>
      <c r="D2" s="13"/>
      <c r="E2" s="13"/>
    </row>
    <row r="4" spans="1:5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</row>
    <row r="5" spans="1:5" x14ac:dyDescent="0.2">
      <c r="A5" s="3"/>
      <c r="E5" s="4"/>
    </row>
    <row r="6" spans="1:5" x14ac:dyDescent="0.2">
      <c r="A6" s="3"/>
      <c r="E6" s="4"/>
    </row>
    <row r="7" spans="1:5" x14ac:dyDescent="0.2">
      <c r="A7" s="3"/>
      <c r="E7" s="4"/>
    </row>
    <row r="8" spans="1:5" x14ac:dyDescent="0.2">
      <c r="A8" s="3"/>
      <c r="E8" s="4"/>
    </row>
    <row r="9" spans="1:5" x14ac:dyDescent="0.2">
      <c r="A9" s="3"/>
      <c r="E9" s="4"/>
    </row>
    <row r="10" spans="1:5" x14ac:dyDescent="0.2">
      <c r="A10" s="3"/>
      <c r="E10" s="4"/>
    </row>
    <row r="11" spans="1:5" x14ac:dyDescent="0.2">
      <c r="A11" s="3"/>
      <c r="E11" s="4"/>
    </row>
    <row r="12" spans="1:5" x14ac:dyDescent="0.2">
      <c r="A12" s="3"/>
      <c r="E12" s="4"/>
    </row>
    <row r="13" spans="1:5" x14ac:dyDescent="0.2">
      <c r="A13" s="3"/>
      <c r="E13" s="4"/>
    </row>
    <row r="14" spans="1:5" x14ac:dyDescent="0.2">
      <c r="A14" s="3"/>
      <c r="E14" s="4"/>
    </row>
    <row r="15" spans="1:5" x14ac:dyDescent="0.2">
      <c r="A15" s="3"/>
      <c r="E15" s="4"/>
    </row>
    <row r="16" spans="1:5" x14ac:dyDescent="0.2">
      <c r="A16" s="3"/>
      <c r="E16" s="4"/>
    </row>
    <row r="17" spans="1:5" x14ac:dyDescent="0.2">
      <c r="A17" s="3"/>
      <c r="E17" s="4"/>
    </row>
    <row r="18" spans="1:5" x14ac:dyDescent="0.2">
      <c r="A18" s="3"/>
      <c r="E18" s="4"/>
    </row>
    <row r="19" spans="1:5" x14ac:dyDescent="0.2">
      <c r="A19" s="3"/>
      <c r="E19" s="4"/>
    </row>
    <row r="20" spans="1:5" x14ac:dyDescent="0.2">
      <c r="A20" s="3"/>
      <c r="E20" s="4"/>
    </row>
    <row r="21" spans="1:5" x14ac:dyDescent="0.2">
      <c r="A21" s="3"/>
      <c r="E21" s="4"/>
    </row>
    <row r="22" spans="1:5" x14ac:dyDescent="0.2">
      <c r="A22" s="3"/>
      <c r="E22" s="4"/>
    </row>
    <row r="23" spans="1:5" x14ac:dyDescent="0.2">
      <c r="A23" s="3"/>
      <c r="E23" s="4"/>
    </row>
    <row r="24" spans="1:5" x14ac:dyDescent="0.2">
      <c r="A24" s="3"/>
      <c r="E24" s="4"/>
    </row>
    <row r="25" spans="1:5" x14ac:dyDescent="0.2">
      <c r="A25" s="3"/>
      <c r="E25" s="4"/>
    </row>
    <row r="26" spans="1:5" x14ac:dyDescent="0.2">
      <c r="A26" s="3"/>
      <c r="E26" s="4"/>
    </row>
    <row r="27" spans="1:5" x14ac:dyDescent="0.2">
      <c r="A27" s="3"/>
      <c r="E27" s="4"/>
    </row>
    <row r="28" spans="1:5" x14ac:dyDescent="0.2">
      <c r="A28" s="3"/>
      <c r="E28" s="4"/>
    </row>
    <row r="29" spans="1:5" x14ac:dyDescent="0.2">
      <c r="A29" s="3"/>
      <c r="E29" s="4"/>
    </row>
    <row r="30" spans="1:5" x14ac:dyDescent="0.2">
      <c r="A30" s="3"/>
      <c r="E30" s="4"/>
    </row>
  </sheetData>
  <mergeCells count="1">
    <mergeCell ref="A1:E2"/>
  </mergeCells>
  <dataValidations count="1">
    <dataValidation type="list" sqref="B5:B30" xr:uid="{00000000-0002-0000-0300-000000000000}">
      <formula1>"Income,Expense"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4" t="s">
        <v>35</v>
      </c>
      <c r="B1" s="14"/>
      <c r="C1" s="14"/>
      <c r="D1" s="14"/>
      <c r="E1" s="14"/>
      <c r="F1" s="14"/>
    </row>
    <row r="2" spans="1:6" x14ac:dyDescent="0.2">
      <c r="A2" s="14"/>
      <c r="B2" s="14"/>
      <c r="C2" s="14"/>
      <c r="D2" s="14"/>
      <c r="E2" s="14"/>
      <c r="F2" s="14"/>
    </row>
    <row r="4" spans="1:6" x14ac:dyDescent="0.2">
      <c r="A4" s="7" t="s">
        <v>36</v>
      </c>
      <c r="B4" s="8" t="s">
        <v>37</v>
      </c>
    </row>
    <row r="5" spans="1:6" x14ac:dyDescent="0.2">
      <c r="A5" s="7" t="s">
        <v>38</v>
      </c>
      <c r="B5" s="8" t="s">
        <v>39</v>
      </c>
    </row>
    <row r="6" spans="1:6" x14ac:dyDescent="0.2">
      <c r="A6" s="7" t="s">
        <v>40</v>
      </c>
      <c r="B6" s="8" t="s">
        <v>41</v>
      </c>
    </row>
    <row r="7" spans="1:6" x14ac:dyDescent="0.2">
      <c r="A7" s="7" t="s">
        <v>42</v>
      </c>
      <c r="B7" s="8" t="s">
        <v>43</v>
      </c>
    </row>
    <row r="8" spans="1:6" x14ac:dyDescent="0.2">
      <c r="A8" s="7" t="s">
        <v>44</v>
      </c>
      <c r="B8" s="8" t="s">
        <v>45</v>
      </c>
    </row>
    <row r="9" spans="1:6" x14ac:dyDescent="0.2">
      <c r="A9" s="7" t="s">
        <v>46</v>
      </c>
      <c r="B9" s="8" t="s">
        <v>47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تراکنش‌ها</vt:lpstr>
      <vt:lpstr>بودجه</vt:lpstr>
      <vt:lpstr>داشبورد مالی</vt:lpstr>
      <vt:lpstr>ورود داده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2026-09-30T23:34:37Z</dcterms:created>
</cp:coreProperties>
</file>