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showInkAnnotation="0"/>
  <xr:revisionPtr revIDLastSave="0" documentId="8_{BB3C29D4-3054-0340-BEE0-6C3F141C37F2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Transactions" sheetId="1" r:id="rId1"/>
    <sheet name="Budget" sheetId="2" r:id="rId2"/>
    <sheet name="Financial Dashboard" sheetId="3" r:id="rId3"/>
    <sheet name="Data Entry" sheetId="4" r:id="rId4"/>
    <sheet name="Instructions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14" i="1"/>
  <c r="H23" i="1"/>
  <c r="H32" i="1"/>
  <c r="H2" i="1"/>
  <c r="H3" i="1"/>
  <c r="H4" i="1"/>
  <c r="H6" i="1"/>
  <c r="H7" i="1"/>
  <c r="H8" i="1"/>
  <c r="H9" i="1"/>
  <c r="H10" i="1"/>
  <c r="H11" i="1"/>
  <c r="H12" i="1"/>
  <c r="H13" i="1"/>
  <c r="H15" i="1"/>
  <c r="H16" i="1"/>
  <c r="H17" i="1"/>
  <c r="H18" i="1"/>
  <c r="H19" i="1"/>
  <c r="H20" i="1"/>
  <c r="H21" i="1"/>
  <c r="H22" i="1"/>
  <c r="H24" i="1"/>
  <c r="H25" i="1"/>
  <c r="H26" i="1"/>
  <c r="H27" i="1"/>
  <c r="H28" i="1"/>
  <c r="H29" i="1"/>
  <c r="H30" i="1"/>
  <c r="H31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W2" i="3"/>
  <c r="W3" i="3"/>
  <c r="W4" i="3"/>
  <c r="W5" i="3"/>
  <c r="W6" i="3"/>
  <c r="W7" i="3"/>
  <c r="AA2" i="3"/>
  <c r="AA3" i="3"/>
  <c r="AA4" i="3"/>
  <c r="AA5" i="3"/>
  <c r="AA6" i="3"/>
  <c r="AA7" i="3"/>
  <c r="M33" i="3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T2" i="3"/>
  <c r="T3" i="3"/>
  <c r="T4" i="3"/>
  <c r="T5" i="3"/>
  <c r="T6" i="3"/>
  <c r="T7" i="3"/>
  <c r="T8" i="3"/>
  <c r="T9" i="3"/>
  <c r="T10" i="3"/>
  <c r="T11" i="3"/>
  <c r="T12" i="3"/>
  <c r="T13" i="3"/>
  <c r="I33" i="3"/>
  <c r="M29" i="3"/>
  <c r="I29" i="3"/>
  <c r="G101" i="1"/>
  <c r="G102" i="1"/>
  <c r="G103" i="1"/>
  <c r="G104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5" i="1"/>
  <c r="G106" i="1"/>
  <c r="G107" i="1"/>
  <c r="G108" i="1"/>
  <c r="G109" i="1"/>
  <c r="S13" i="3"/>
  <c r="S12" i="3"/>
  <c r="S11" i="3"/>
  <c r="S10" i="3"/>
  <c r="S9" i="3"/>
  <c r="S8" i="3"/>
  <c r="Z7" i="3"/>
  <c r="S7" i="3"/>
  <c r="Z6" i="3"/>
  <c r="S6" i="3"/>
  <c r="M6" i="3"/>
  <c r="J6" i="3"/>
  <c r="G6" i="3"/>
  <c r="D6" i="3"/>
  <c r="A6" i="3"/>
  <c r="Z5" i="3"/>
  <c r="S5" i="3"/>
  <c r="Z4" i="3"/>
  <c r="S4" i="3"/>
  <c r="Z3" i="3"/>
  <c r="S3" i="3"/>
  <c r="Z2" i="3"/>
  <c r="S2" i="3"/>
</calcChain>
</file>

<file path=xl/sharedStrings.xml><?xml version="1.0" encoding="utf-8"?>
<sst xmlns="http://schemas.openxmlformats.org/spreadsheetml/2006/main" count="423" uniqueCount="173">
  <si>
    <t>Date</t>
  </si>
  <si>
    <t>Type</t>
  </si>
  <si>
    <t>Category</t>
  </si>
  <si>
    <t>Description</t>
  </si>
  <si>
    <t>Amount</t>
  </si>
  <si>
    <t>Month</t>
  </si>
  <si>
    <t>Income</t>
  </si>
  <si>
    <t>Expense</t>
  </si>
  <si>
    <t>Product Sales</t>
  </si>
  <si>
    <t>Product Sales - Jan</t>
  </si>
  <si>
    <t>Consulting</t>
  </si>
  <si>
    <t>Consulting - Jan</t>
  </si>
  <si>
    <t>Online Services</t>
  </si>
  <si>
    <t>Online Services - Jan</t>
  </si>
  <si>
    <t>Marketing</t>
  </si>
  <si>
    <t>Marketing - Jan</t>
  </si>
  <si>
    <t>Software</t>
  </si>
  <si>
    <t>Software - Jan</t>
  </si>
  <si>
    <t>Office</t>
  </si>
  <si>
    <t>Office - Jan</t>
  </si>
  <si>
    <t>Logistics</t>
  </si>
  <si>
    <t>Logistics - Jan</t>
  </si>
  <si>
    <t>Utilities</t>
  </si>
  <si>
    <t>Utilities - Jan</t>
  </si>
  <si>
    <t>Payroll</t>
  </si>
  <si>
    <t>Payroll - Jan</t>
  </si>
  <si>
    <t>Product Sales - Feb</t>
  </si>
  <si>
    <t>Consulting - Feb</t>
  </si>
  <si>
    <t>Online Services - Feb</t>
  </si>
  <si>
    <t>Marketing - Feb</t>
  </si>
  <si>
    <t>Software - Feb</t>
  </si>
  <si>
    <t>Office - Feb</t>
  </si>
  <si>
    <t>Logistics - Feb</t>
  </si>
  <si>
    <t>Utilities - Feb</t>
  </si>
  <si>
    <t>Payroll - Feb</t>
  </si>
  <si>
    <t>Product Sales - Mar</t>
  </si>
  <si>
    <t>Consulting - Mar</t>
  </si>
  <si>
    <t>Online Services - Mar</t>
  </si>
  <si>
    <t>Marketing - Mar</t>
  </si>
  <si>
    <t>Software - Mar</t>
  </si>
  <si>
    <t>Office - Mar</t>
  </si>
  <si>
    <t>Logistics - Mar</t>
  </si>
  <si>
    <t>Utilities - Mar</t>
  </si>
  <si>
    <t>Payroll - Mar</t>
  </si>
  <si>
    <t>Product Sales - Apr</t>
  </si>
  <si>
    <t>Consulting - Apr</t>
  </si>
  <si>
    <t>Online Services - Apr</t>
  </si>
  <si>
    <t>Marketing - Apr</t>
  </si>
  <si>
    <t>Software - Apr</t>
  </si>
  <si>
    <t>Office - Apr</t>
  </si>
  <si>
    <t>Logistics - Apr</t>
  </si>
  <si>
    <t>Utilities - Apr</t>
  </si>
  <si>
    <t>Payroll - Apr</t>
  </si>
  <si>
    <t>Product Sales - May</t>
  </si>
  <si>
    <t>Consulting - May</t>
  </si>
  <si>
    <t>Online Services - May</t>
  </si>
  <si>
    <t>Marketing - May</t>
  </si>
  <si>
    <t>Software - May</t>
  </si>
  <si>
    <t>Office - May</t>
  </si>
  <si>
    <t>Logistics - May</t>
  </si>
  <si>
    <t>Utilities - May</t>
  </si>
  <si>
    <t>Payroll - May</t>
  </si>
  <si>
    <t>Product Sales - Jun</t>
  </si>
  <si>
    <t>Consulting - Jun</t>
  </si>
  <si>
    <t>Online Services - Jun</t>
  </si>
  <si>
    <t>Marketing - Jun</t>
  </si>
  <si>
    <t>Software - Jun</t>
  </si>
  <si>
    <t>Office - Jun</t>
  </si>
  <si>
    <t>Logistics - Jun</t>
  </si>
  <si>
    <t>Utilities - Jun</t>
  </si>
  <si>
    <t>Payroll - Jun</t>
  </si>
  <si>
    <t>Product Sales - Jul</t>
  </si>
  <si>
    <t>Consulting - Jul</t>
  </si>
  <si>
    <t>Online Services - Jul</t>
  </si>
  <si>
    <t>Marketing - Jul</t>
  </si>
  <si>
    <t>Software - Jul</t>
  </si>
  <si>
    <t>Office - Jul</t>
  </si>
  <si>
    <t>Logistics - Jul</t>
  </si>
  <si>
    <t>Utilities - Jul</t>
  </si>
  <si>
    <t>Payroll - Jul</t>
  </si>
  <si>
    <t>Product Sales - Aug</t>
  </si>
  <si>
    <t>Consulting - Aug</t>
  </si>
  <si>
    <t>Online Services - Aug</t>
  </si>
  <si>
    <t>Marketing - Aug</t>
  </si>
  <si>
    <t>Software - Aug</t>
  </si>
  <si>
    <t>Office - Aug</t>
  </si>
  <si>
    <t>Logistics - Aug</t>
  </si>
  <si>
    <t>Utilities - Aug</t>
  </si>
  <si>
    <t>Payroll - Aug</t>
  </si>
  <si>
    <t>Product Sales - Sep</t>
  </si>
  <si>
    <t>Consulting - Sep</t>
  </si>
  <si>
    <t>Online Services - Sep</t>
  </si>
  <si>
    <t>Marketing - Sep</t>
  </si>
  <si>
    <t>Software - Sep</t>
  </si>
  <si>
    <t>Office - Sep</t>
  </si>
  <si>
    <t>Logistics - Sep</t>
  </si>
  <si>
    <t>Utilities - Sep</t>
  </si>
  <si>
    <t>Payroll - Sep</t>
  </si>
  <si>
    <t>Product Sales - Oct</t>
  </si>
  <si>
    <t>Consulting - Oct</t>
  </si>
  <si>
    <t>Online Services - Oct</t>
  </si>
  <si>
    <t>Marketing - Oct</t>
  </si>
  <si>
    <t>Software - Oct</t>
  </si>
  <si>
    <t>Office - Oct</t>
  </si>
  <si>
    <t>Logistics - Oct</t>
  </si>
  <si>
    <t>Utilities - Oct</t>
  </si>
  <si>
    <t>Payroll - Oct</t>
  </si>
  <si>
    <t>Product Sales - Nov</t>
  </si>
  <si>
    <t>Consulting - Nov</t>
  </si>
  <si>
    <t>Online Services - Nov</t>
  </si>
  <si>
    <t>Marketing - Nov</t>
  </si>
  <si>
    <t>Software - Nov</t>
  </si>
  <si>
    <t>Office - Nov</t>
  </si>
  <si>
    <t>Logistics - Nov</t>
  </si>
  <si>
    <t>Utilities - Nov</t>
  </si>
  <si>
    <t>Payroll - Nov</t>
  </si>
  <si>
    <t>Product Sales - Dec</t>
  </si>
  <si>
    <t>Consulting - Dec</t>
  </si>
  <si>
    <t>Online Services - Dec</t>
  </si>
  <si>
    <t>Marketing - Dec</t>
  </si>
  <si>
    <t>Software - Dec</t>
  </si>
  <si>
    <t>Office - Dec</t>
  </si>
  <si>
    <t>Logistics - Dec</t>
  </si>
  <si>
    <t>Utilities - Dec</t>
  </si>
  <si>
    <t>Payroll - 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</si>
  <si>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</si>
  <si>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</si>
  <si>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</si>
  <si>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</si>
  <si>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</si>
  <si>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</si>
  <si>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</si>
  <si>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</si>
  <si>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</si>
  <si>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</si>
  <si>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</si>
  <si>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</si>
  <si>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Budget</t>
  </si>
  <si>
    <t>HMEXCELPRO  |  FINANCIAL &amp; EXPENSE DASHBOARD</t>
  </si>
  <si>
    <t>Actual</t>
  </si>
  <si>
    <t>Budget</t>
  </si>
  <si>
    <t>Cash Flow  •  Expense Analysis  •  Budget Control  •  Profitability</t>
  </si>
  <si>
    <t>TOTAL INCOME</t>
  </si>
  <si>
    <t>TOTAL EXPENSE</t>
  </si>
  <si>
    <t>NET PROFIT</t>
  </si>
  <si>
    <t>PROFIT MARGIN</t>
  </si>
  <si>
    <t>ANNUAL BUDGET</t>
  </si>
  <si>
    <t>MONTHLY CASH FLOW</t>
  </si>
  <si>
    <t>EXPENSE BREAKDOWN</t>
  </si>
  <si>
    <t>BUDGET VS ACTUAL</t>
  </si>
  <si>
    <t>FINANCIAL INSIGHTS</t>
  </si>
  <si>
    <t>TOP EXPENSE CATEGORY</t>
  </si>
  <si>
    <t>BEST CASH FLOW MONTH</t>
  </si>
  <si>
    <t>AVG MONTHLY EXPENSE</t>
  </si>
  <si>
    <t>BUDGET UTILIZATION</t>
  </si>
  <si>
    <t>HMexcelpro  |  Excel • Financial Analysis • Dashboards • Business Reporting</t>
  </si>
  <si>
    <t>HMEXCELPRO | FINANCIAL DATA ENTRY</t>
  </si>
  <si>
    <t>Review Status</t>
  </si>
  <si>
    <t>HMEXCELPRO FINANCIAL DASHBOARD — PORTFOLIO PROJECT</t>
  </si>
  <si>
    <t>A professional Excel portfolio project for income/expense tracking, cash-flow analysis, budget control and management reporting.</t>
  </si>
  <si>
    <t>HOW TO USE</t>
  </si>
  <si>
    <t>1</t>
  </si>
  <si>
    <t>Add transactions to the Transactions sheet or prepare them in Data Entry.</t>
  </si>
  <si>
    <t>2</t>
  </si>
  <si>
    <t>Set monthly category budgets in the Budget sheet.</t>
  </si>
  <si>
    <t>3</t>
  </si>
  <si>
    <t>Review KPIs and charts in Financial Dashboard.</t>
  </si>
  <si>
    <t>4</t>
  </si>
  <si>
    <t>Use expense breakdown and Budget vs Actual to identify cost pressure.</t>
  </si>
  <si>
    <t>PORTFOLIO SKILLS DEMONSTRATED</t>
  </si>
  <si>
    <t>•</t>
  </si>
  <si>
    <t>Excel formulas, structured data, conditional formatting and validation.</t>
  </si>
  <si>
    <t>Financial analysis, expense reporting, cash-flow visualization and dashboard design.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</si>
</sst>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d\,\ yyyy"/>
    <numFmt numFmtId="165" formatCode="\$#,##0.00"/>
    <numFmt numFmtId="166" formatCode="\$#,##0"/>
    <numFmt numFmtId="167" formatCode="0.0%"/>
  </numFmts>
  <fonts count="18" x14ac:knownFonts="1">
    <font>
      <sz val="11"/>
      <name val="Carlito"/>
    </font>
    <font>
      <b/>
      <sz val="11"/>
      <color rgb="FFFFFFFF"/>
      <name val="Carlito"/>
    </font>
    <font>
      <sz val="10"/>
      <color rgb="FF243B53"/>
      <name val="Aptos"/>
    </font>
    <font>
      <b/>
      <sz val="11"/>
      <color rgb="FF0B1F33"/>
      <name val="Carlito"/>
    </font>
    <font>
      <sz val="11"/>
      <color rgb="FF243B53"/>
      <name val="Aptos"/>
    </font>
    <font>
      <b/>
      <sz val="20"/>
      <color rgb="FFFFFFFF"/>
      <name val="Aptos"/>
    </font>
    <font>
      <sz val="10"/>
      <color rgb="FFBFD7EA"/>
      <name val="Aptos"/>
    </font>
    <font>
      <b/>
      <sz val="9"/>
      <color rgb="FFFFFFFF"/>
      <name val="Aptos"/>
    </font>
    <font>
      <b/>
      <sz val="17"/>
      <color rgb="FF243B53"/>
      <name val="Aptos"/>
    </font>
    <font>
      <b/>
      <sz val="11"/>
      <color rgb="FF0B1F33"/>
      <name val="Aptos"/>
    </font>
    <font>
      <b/>
      <sz val="14"/>
      <color rgb="FFDC2626"/>
      <name val="Aptos"/>
    </font>
    <font>
      <b/>
      <sz val="14"/>
      <color rgb="FF16A34A"/>
      <name val="Aptos"/>
    </font>
    <font>
      <b/>
      <sz val="14"/>
      <color rgb="FFF59E0B"/>
      <name val="Aptos"/>
    </font>
    <font>
      <b/>
      <sz val="14"/>
      <color rgb="FF0F766E"/>
      <name val="Aptos"/>
    </font>
    <font>
      <b/>
      <sz val="9"/>
      <color rgb="FFD9EAF7"/>
      <name val="Aptos"/>
    </font>
    <font>
      <b/>
      <sz val="19"/>
      <color rgb="FFFFFFFF"/>
      <name val="Carlito"/>
    </font>
    <font>
      <b/>
      <sz val="18"/>
      <color rgb="FFFFFFFF"/>
      <name val="Carlito"/>
    </font>
    <font>
      <sz val="11"/>
      <color rgb="FF243B53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8EEF4"/>
      </patternFill>
    </fill>
    <fill>
      <patternFill patternType="solid">
        <fgColor rgb="FFF3F6F9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DC2626"/>
      </patternFill>
    </fill>
    <fill>
      <patternFill patternType="solid">
        <fgColor rgb="FF16A34A"/>
      </patternFill>
    </fill>
    <fill>
      <patternFill patternType="solid">
        <fgColor rgb="FF0F766E"/>
      </patternFill>
    </fill>
    <fill>
      <patternFill patternType="solid">
        <fgColor rgb="FFF59E0B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/>
    <xf numFmtId="164" fontId="2" fillId="0" borderId="0" xfId="0" applyNumberFormat="1" applyFont="1" applyFill="1" applyBorder="1"/>
    <xf numFmtId="165" fontId="2" fillId="0" borderId="0" xfId="0" applyNumberFormat="1" applyFont="1" applyFill="1" applyBorder="1"/>
    <xf numFmtId="0" fontId="3" fillId="3" borderId="0" xfId="0" applyNumberFormat="1" applyFont="1" applyFill="1" applyBorder="1"/>
    <xf numFmtId="166" fontId="0" fillId="0" borderId="0" xfId="0" applyNumberFormat="1" applyFont="1" applyFill="1" applyBorder="1"/>
    <xf numFmtId="0" fontId="0" fillId="4" borderId="0" xfId="0" applyNumberFormat="1" applyFont="1" applyFill="1" applyBorder="1"/>
    <xf numFmtId="0" fontId="4" fillId="4" borderId="0" xfId="0" applyNumberFormat="1" applyFont="1" applyFill="1" applyBorder="1"/>
    <xf numFmtId="0" fontId="1" fillId="9" borderId="0" xfId="0" applyNumberFormat="1" applyFont="1" applyFill="1" applyBorder="1"/>
    <xf numFmtId="0" fontId="1" fillId="9" borderId="0" xfId="0" applyNumberFormat="1" applyFont="1" applyFill="1" applyBorder="1" applyAlignment="1">
      <alignment horizontal="center"/>
    </xf>
    <xf numFmtId="164" fontId="0" fillId="4" borderId="0" xfId="0" applyNumberFormat="1" applyFont="1" applyFill="1" applyBorder="1"/>
    <xf numFmtId="165" fontId="0" fillId="4" borderId="0" xfId="0" applyNumberFormat="1" applyFont="1" applyFill="1" applyBorder="1"/>
    <xf numFmtId="0" fontId="1" fillId="5" borderId="0" xfId="0" applyNumberFormat="1" applyFont="1" applyFill="1" applyBorder="1"/>
    <xf numFmtId="0" fontId="5" fillId="2" borderId="0" xfId="0" applyNumberFormat="1" applyFont="1" applyFill="1" applyBorder="1" applyAlignment="1">
      <alignment vertical="center"/>
    </xf>
    <xf numFmtId="0" fontId="6" fillId="2" borderId="0" xfId="0" applyNumberFormat="1" applyFont="1" applyFill="1" applyBorder="1"/>
    <xf numFmtId="0" fontId="7" fillId="5" borderId="0" xfId="0" applyNumberFormat="1" applyFont="1" applyFill="1" applyBorder="1" applyAlignment="1">
      <alignment horizontal="center"/>
    </xf>
    <xf numFmtId="166" fontId="8" fillId="6" borderId="0" xfId="0" applyNumberFormat="1" applyFont="1" applyFill="1" applyBorder="1" applyAlignment="1">
      <alignment horizontal="center" vertical="center"/>
    </xf>
    <xf numFmtId="0" fontId="8" fillId="6" borderId="0" xfId="0" applyNumberFormat="1" applyFont="1" applyFill="1" applyBorder="1" applyAlignment="1">
      <alignment horizontal="center" vertical="center"/>
    </xf>
    <xf numFmtId="0" fontId="8" fillId="6" borderId="1" xfId="0" applyNumberFormat="1" applyFont="1" applyFill="1" applyBorder="1" applyAlignment="1">
      <alignment horizontal="center" vertical="center"/>
    </xf>
    <xf numFmtId="0" fontId="7" fillId="7" borderId="0" xfId="0" applyNumberFormat="1" applyFont="1" applyFill="1" applyBorder="1" applyAlignment="1">
      <alignment horizontal="center"/>
    </xf>
    <xf numFmtId="0" fontId="8" fillId="6" borderId="2" xfId="0" applyNumberFormat="1" applyFont="1" applyFill="1" applyBorder="1" applyAlignment="1">
      <alignment horizontal="center" vertical="center"/>
    </xf>
    <xf numFmtId="0" fontId="7" fillId="8" borderId="0" xfId="0" applyNumberFormat="1" applyFont="1" applyFill="1" applyBorder="1" applyAlignment="1">
      <alignment horizontal="center"/>
    </xf>
    <xf numFmtId="0" fontId="8" fillId="6" borderId="3" xfId="0" applyNumberFormat="1" applyFont="1" applyFill="1" applyBorder="1" applyAlignment="1">
      <alignment horizontal="center" vertical="center"/>
    </xf>
    <xf numFmtId="0" fontId="7" fillId="9" borderId="0" xfId="0" applyNumberFormat="1" applyFont="1" applyFill="1" applyBorder="1" applyAlignment="1">
      <alignment horizontal="center"/>
    </xf>
    <xf numFmtId="167" fontId="8" fillId="6" borderId="0" xfId="0" applyNumberFormat="1" applyFont="1" applyFill="1" applyBorder="1" applyAlignment="1">
      <alignment horizontal="center" vertical="center"/>
    </xf>
    <xf numFmtId="0" fontId="8" fillId="6" borderId="4" xfId="0" applyNumberFormat="1" applyFont="1" applyFill="1" applyBorder="1" applyAlignment="1">
      <alignment horizontal="center" vertical="center"/>
    </xf>
    <xf numFmtId="0" fontId="7" fillId="10" borderId="0" xfId="0" applyNumberFormat="1" applyFont="1" applyFill="1" applyBorder="1" applyAlignment="1">
      <alignment horizontal="center"/>
    </xf>
    <xf numFmtId="0" fontId="8" fillId="6" borderId="5" xfId="0" applyNumberFormat="1" applyFont="1" applyFill="1" applyBorder="1" applyAlignment="1">
      <alignment horizontal="center" vertical="center"/>
    </xf>
    <xf numFmtId="0" fontId="9" fillId="6" borderId="6" xfId="0" applyNumberFormat="1" applyFont="1" applyFill="1" applyBorder="1"/>
    <xf numFmtId="0" fontId="10" fillId="6" borderId="0" xfId="0" applyNumberFormat="1" applyFont="1" applyFill="1" applyBorder="1" applyAlignment="1">
      <alignment horizontal="center" vertical="center"/>
    </xf>
    <xf numFmtId="0" fontId="10" fillId="6" borderId="7" xfId="0" applyNumberFormat="1" applyFont="1" applyFill="1" applyBorder="1" applyAlignment="1">
      <alignment horizontal="center" vertical="center"/>
    </xf>
    <xf numFmtId="0" fontId="11" fillId="6" borderId="0" xfId="0" applyNumberFormat="1" applyFont="1" applyFill="1" applyBorder="1" applyAlignment="1">
      <alignment horizontal="center" vertical="center"/>
    </xf>
    <xf numFmtId="0" fontId="11" fillId="6" borderId="8" xfId="0" applyNumberFormat="1" applyFont="1" applyFill="1" applyBorder="1" applyAlignment="1">
      <alignment horizontal="center" vertical="center"/>
    </xf>
    <xf numFmtId="166" fontId="12" fillId="6" borderId="0" xfId="0" applyNumberFormat="1" applyFont="1" applyFill="1" applyBorder="1" applyAlignment="1">
      <alignment horizontal="center" vertical="center"/>
    </xf>
    <xf numFmtId="0" fontId="12" fillId="6" borderId="0" xfId="0" applyNumberFormat="1" applyFont="1" applyFill="1" applyBorder="1" applyAlignment="1">
      <alignment horizontal="center" vertical="center"/>
    </xf>
    <xf numFmtId="0" fontId="12" fillId="6" borderId="9" xfId="0" applyNumberFormat="1" applyFont="1" applyFill="1" applyBorder="1" applyAlignment="1">
      <alignment horizontal="center" vertical="center"/>
    </xf>
    <xf numFmtId="167" fontId="13" fillId="6" borderId="0" xfId="0" applyNumberFormat="1" applyFont="1" applyFill="1" applyBorder="1" applyAlignment="1">
      <alignment horizontal="center" vertical="center"/>
    </xf>
    <xf numFmtId="0" fontId="13" fillId="6" borderId="0" xfId="0" applyNumberFormat="1" applyFont="1" applyFill="1" applyBorder="1" applyAlignment="1">
      <alignment horizontal="center" vertical="center"/>
    </xf>
    <xf numFmtId="0" fontId="13" fillId="6" borderId="6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>
      <alignment horizontal="center"/>
    </xf>
    <xf numFmtId="0" fontId="14" fillId="2" borderId="0" xfId="0" applyNumberFormat="1" applyFont="1" applyFill="1" applyBorder="1" applyAlignment="1">
      <alignment horizontal="center" vertical="center"/>
    </xf>
    <xf numFmtId="0" fontId="15" fillId="2" borderId="0" xfId="0" applyNumberFormat="1" applyFont="1" applyFill="1" applyBorder="1"/>
    <xf numFmtId="0" fontId="16" fillId="2" borderId="0" xfId="0" applyNumberFormat="1" applyFont="1" applyFill="1" applyBorder="1"/>
    <xf numFmtId="0" fontId="17" fillId="6" borderId="0" xfId="0" applyNumberFormat="1" applyFont="1" applyFill="1" applyBorder="1" applyAlignment="1">
      <alignment wrapText="1"/>
    </xf>
  </cellXfs>
  <cellStyles count="1">
    <cellStyle name="Normal" xfId="0" builtinId="0"/>
  </cellStyles>
  <dxfs count="3">
    <dxf>
      <fill>
        <patternFill patternType="solid">
          <bgColor rgb="FFDCFCE7"/>
        </patternFill>
      </fill>
    </dxf>
    <dxf>
      <fill>
        <patternFill patternType="solid">
          <bgColor rgb="FFDBEAFE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Monthly Income vs Expense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Income</c:v>
          </c:tx>
          <c:marker>
            <c:symbol val="none"/>
          </c:marker>
          <c:cat>
            <c:strRef>
              <c:f>'Financial Dashboard'!$R$2:$R$13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'Financial Dashboard'!$S$2:$S$13</c:f>
              <c:numCache>
                <c:formatCode>General</c:formatCode>
                <c:ptCount val="12"/>
                <c:pt idx="0">
                  <c:v>12482</c:v>
                </c:pt>
                <c:pt idx="1">
                  <c:v>11878</c:v>
                </c:pt>
                <c:pt idx="2">
                  <c:v>11026</c:v>
                </c:pt>
                <c:pt idx="3">
                  <c:v>11059</c:v>
                </c:pt>
                <c:pt idx="4">
                  <c:v>12727</c:v>
                </c:pt>
                <c:pt idx="5">
                  <c:v>10435</c:v>
                </c:pt>
                <c:pt idx="6">
                  <c:v>12596</c:v>
                </c:pt>
                <c:pt idx="7">
                  <c:v>14333</c:v>
                </c:pt>
                <c:pt idx="8">
                  <c:v>12264</c:v>
                </c:pt>
                <c:pt idx="9">
                  <c:v>11378</c:v>
                </c:pt>
                <c:pt idx="10">
                  <c:v>12926</c:v>
                </c:pt>
                <c:pt idx="11">
                  <c:v>12131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EA-634B-8DC0-E6524856394A}"/>
            </c:ext>
          </c:extLst>
        </c:ser>
        <c:ser>
          <c:idx val="1"/>
          <c:order val="1"/>
          <c:tx>
            <c:v>Expense</c:v>
          </c:tx>
          <c:marker>
            <c:symbol val="none"/>
          </c:marker>
          <c:cat>
            <c:strRef>
              <c:f>'Financial Dashboard'!$R$2:$R$13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'Financial Dashboard'!$T$2:$T$13</c:f>
              <c:numCache>
                <c:formatCode>General</c:formatCode>
                <c:ptCount val="12"/>
                <c:pt idx="0">
                  <c:v>4997</c:v>
                </c:pt>
                <c:pt idx="1">
                  <c:v>6052</c:v>
                </c:pt>
                <c:pt idx="2">
                  <c:v>5869</c:v>
                </c:pt>
                <c:pt idx="3">
                  <c:v>6336</c:v>
                </c:pt>
                <c:pt idx="4">
                  <c:v>6129</c:v>
                </c:pt>
                <c:pt idx="5">
                  <c:v>6220</c:v>
                </c:pt>
                <c:pt idx="6">
                  <c:v>5913</c:v>
                </c:pt>
                <c:pt idx="7">
                  <c:v>6712</c:v>
                </c:pt>
                <c:pt idx="8">
                  <c:v>6548</c:v>
                </c:pt>
                <c:pt idx="9">
                  <c:v>6724</c:v>
                </c:pt>
                <c:pt idx="10">
                  <c:v>6732</c:v>
                </c:pt>
                <c:pt idx="11">
                  <c:v>6915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DEA-634B-8DC0-E65248563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Expense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v>Expense</c:v>
          </c:tx>
          <c:cat>
            <c:strRef>
              <c:f>'Financial Dashboard'!$V$2:$V$7</c:f>
              <c:strCache>
                <c:ptCount val="6"/>
                <c:pt idx="0">
                  <c:v>Marketing</c:v>
                </c:pt>
                <c:pt idx="1">
                  <c:v>Software</c:v>
                </c:pt>
                <c:pt idx="2">
                  <c:v>Office</c:v>
                </c:pt>
                <c:pt idx="3">
                  <c:v>Logistics</c:v>
                </c:pt>
                <c:pt idx="4">
                  <c:v>Utilities</c:v>
                </c:pt>
                <c:pt idx="5">
                  <c:v>Payroll</c:v>
                </c:pt>
              </c:strCache>
            </c:strRef>
          </c:cat>
          <c:val>
            <c:numRef>
              <c:f>'Financial Dashboard'!$W$2:$W$7</c:f>
              <c:numCache>
                <c:formatCode>General</c:formatCode>
                <c:ptCount val="6"/>
                <c:pt idx="0">
                  <c:v>13647</c:v>
                </c:pt>
                <c:pt idx="1">
                  <c:v>8692</c:v>
                </c:pt>
                <c:pt idx="2">
                  <c:v>7064</c:v>
                </c:pt>
                <c:pt idx="3">
                  <c:v>11402</c:v>
                </c:pt>
                <c:pt idx="4">
                  <c:v>6352</c:v>
                </c:pt>
                <c:pt idx="5">
                  <c:v>27990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B-8349-9E6B-8A3A2C5D2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Annual Budget vs Actual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invertIfNegative val="1"/>
          <c:cat>
            <c:strRef>
              <c:f>'Financial Dashboard'!$Y$2:$Y$7</c:f>
              <c:strCache>
                <c:ptCount val="6"/>
                <c:pt idx="0">
                  <c:v>Marketing</c:v>
                </c:pt>
                <c:pt idx="1">
                  <c:v>Software</c:v>
                </c:pt>
                <c:pt idx="2">
                  <c:v>Office</c:v>
                </c:pt>
                <c:pt idx="3">
                  <c:v>Logistics</c:v>
                </c:pt>
                <c:pt idx="4">
                  <c:v>Utilities</c:v>
                </c:pt>
                <c:pt idx="5">
                  <c:v>Payroll</c:v>
                </c:pt>
              </c:strCache>
            </c:strRef>
          </c:cat>
          <c:val>
            <c:numRef>
              <c:f>'Financial Dashboard'!$Z$2:$Z$7</c:f>
              <c:numCache>
                <c:formatCode>General</c:formatCode>
                <c:ptCount val="6"/>
                <c:pt idx="0">
                  <c:v>13647</c:v>
                </c:pt>
                <c:pt idx="1">
                  <c:v>8692</c:v>
                </c:pt>
                <c:pt idx="2">
                  <c:v>7064</c:v>
                </c:pt>
                <c:pt idx="3">
                  <c:v>11402</c:v>
                </c:pt>
                <c:pt idx="4">
                  <c:v>6352</c:v>
                </c:pt>
                <c:pt idx="5">
                  <c:v>27990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1-7646-B241-E4DC92879DBF}"/>
            </c:ext>
          </c:extLst>
        </c:ser>
        <c:ser>
          <c:idx val="1"/>
          <c:order val="1"/>
          <c:tx>
            <c:v>Budget</c:v>
          </c:tx>
          <c:invertIfNegative val="1"/>
          <c:cat>
            <c:strRef>
              <c:f>'Financial Dashboard'!$Y$2:$Y$7</c:f>
              <c:strCache>
                <c:ptCount val="6"/>
                <c:pt idx="0">
                  <c:v>Marketing</c:v>
                </c:pt>
                <c:pt idx="1">
                  <c:v>Software</c:v>
                </c:pt>
                <c:pt idx="2">
                  <c:v>Office</c:v>
                </c:pt>
                <c:pt idx="3">
                  <c:v>Logistics</c:v>
                </c:pt>
                <c:pt idx="4">
                  <c:v>Utilities</c:v>
                </c:pt>
                <c:pt idx="5">
                  <c:v>Payroll</c:v>
                </c:pt>
              </c:strCache>
            </c:strRef>
          </c:cat>
          <c:val>
            <c:numRef>
              <c:f>'Financial Dashboard'!$AA$2:$AA$7</c:f>
              <c:numCache>
                <c:formatCode>General</c:formatCode>
                <c:ptCount val="6"/>
                <c:pt idx="0">
                  <c:v>13800</c:v>
                </c:pt>
                <c:pt idx="1">
                  <c:v>7800</c:v>
                </c:pt>
                <c:pt idx="2">
                  <c:v>6000</c:v>
                </c:pt>
                <c:pt idx="3">
                  <c:v>10800</c:v>
                </c:pt>
                <c:pt idx="4">
                  <c:v>6600</c:v>
                </c:pt>
                <c:pt idx="5">
                  <c:v>31800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D1-7646-B241-E4DC92879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Table" displayName="TransactionsTable" ref="A1:H109" totalsRowShown="0">
  <tableColumns count="8">
    <tableColumn id="1" xr3:uid="{00000000-0010-0000-0000-000001000000}" name="Date"/>
    <tableColumn id="2" xr3:uid="{00000000-0010-0000-0000-000002000000}" name="Type"/>
    <tableColumn id="3" xr3:uid="{00000000-0010-0000-0000-000003000000}" name="Category"/>
    <tableColumn id="4" xr3:uid="{00000000-0010-0000-0000-000004000000}" name="Description"/>
    <tableColumn id="5" xr3:uid="{00000000-0010-0000-0000-000005000000}" name="Amount"/>
    <tableColumn id="6" xr3:uid="{00000000-0010-0000-0000-000006000000}" name="Month"/>
    <tableColumn id="7" xr3:uid="{00000000-0010-0000-0000-000007000000}" name="Income"/>
    <tableColumn id="8" xr3:uid="{00000000-0010-0000-0000-000008000000}" name="Expe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zoomScaleNormal="60" zoomScaleSheetLayoutView="100" workbookViewId="0"/>
  </sheetViews>
  <sheetFormatPr defaultRowHeight="15" x14ac:dyDescent="0.2"/>
  <cols>
    <col min="1" max="1" width="14.9296875" customWidth="1"/>
    <col min="2" max="2" width="11.97265625" customWidth="1"/>
    <col min="3" max="3" width="18.0234375" customWidth="1"/>
    <col min="4" max="4" width="27.98046875" customWidth="1"/>
    <col min="5" max="5" width="13.98828125" customWidth="1"/>
    <col min="6" max="6" width="9.953125" customWidth="1"/>
    <col min="7" max="8" width="13.98828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3">
        <v>46025</v>
      </c>
      <c r="B2" s="2" t="s">
        <v>6</v>
      </c>
      <c r="C2" s="2" t="s">
        <v>8</v>
      </c>
      <c r="D2" s="2" t="s">
        <v>9</v>
      </c>
      <c r="E2" s="4">
        <v>4787</v>
      </c>
      <c r="F2" s="2" t="str">
        <f>TEXT(A2,"mmm")</f>
        <v>Jan</v>
      </c>
      <c r="G2" s="4">
        <f>IF(B2="Income",E2,0)</f>
        <v>4787</v>
      </c>
      <c r="H2" s="4">
        <f>IF(B2="Expense",E2,0)</f>
        <v>0</v>
      </c>
    </row>
    <row r="3" spans="1:8" x14ac:dyDescent="0.2">
      <c r="A3" s="3">
        <v>46032</v>
      </c>
      <c r="B3" s="2" t="s">
        <v>6</v>
      </c>
      <c r="C3" s="2" t="s">
        <v>10</v>
      </c>
      <c r="D3" s="2" t="s">
        <v>11</v>
      </c>
      <c r="E3" s="4">
        <v>3438</v>
      </c>
      <c r="F3" s="2" t="str">
        <f>TEXT(A3,"mmm")</f>
        <v>Jan</v>
      </c>
      <c r="G3" s="4">
        <f>IF(B3="Income",E3,0)</f>
        <v>3438</v>
      </c>
      <c r="H3" s="4">
        <f>IF(B3="Expense",E3,0)</f>
        <v>0</v>
      </c>
    </row>
    <row r="4" spans="1:8" x14ac:dyDescent="0.2">
      <c r="A4" s="3">
        <v>46039</v>
      </c>
      <c r="B4" s="2" t="s">
        <v>6</v>
      </c>
      <c r="C4" s="2" t="s">
        <v>12</v>
      </c>
      <c r="D4" s="2" t="s">
        <v>13</v>
      </c>
      <c r="E4" s="4">
        <v>4257</v>
      </c>
      <c r="F4" s="2" t="str">
        <f>TEXT(A4,"mmm")</f>
        <v>Jan</v>
      </c>
      <c r="G4" s="4">
        <f>IF(B4="Income",E4,0)</f>
        <v>4257</v>
      </c>
      <c r="H4" s="4">
        <f>IF(B4="Expense",E4,0)</f>
        <v>0</v>
      </c>
    </row>
    <row r="5" spans="1:8" x14ac:dyDescent="0.2">
      <c r="A5" s="3">
        <v>46027</v>
      </c>
      <c r="B5" s="2" t="s">
        <v>7</v>
      </c>
      <c r="C5" s="2" t="s">
        <v>14</v>
      </c>
      <c r="D5" s="2" t="s">
        <v>15</v>
      </c>
      <c r="E5" s="4">
        <v>893</v>
      </c>
      <c r="F5" s="2" t="str">
        <f>TEXT(A5,"mmm")</f>
        <v>Jan</v>
      </c>
      <c r="G5" s="4">
        <f>IF(B5="Income",E5,0)</f>
        <v>0</v>
      </c>
      <c r="H5" s="4">
        <f>IF(B5="Expense",E5,0)</f>
        <v>893</v>
      </c>
    </row>
    <row r="6" spans="1:8" x14ac:dyDescent="0.2">
      <c r="A6" s="3">
        <v>46030</v>
      </c>
      <c r="B6" s="2" t="s">
        <v>7</v>
      </c>
      <c r="C6" s="2" t="s">
        <v>16</v>
      </c>
      <c r="D6" s="2" t="s">
        <v>17</v>
      </c>
      <c r="E6" s="4">
        <v>461</v>
      </c>
      <c r="F6" s="2" t="str">
        <f>TEXT(A6,"mmm")</f>
        <v>Jan</v>
      </c>
      <c r="G6" s="4">
        <f>IF(B6="Income",E6,0)</f>
        <v>0</v>
      </c>
      <c r="H6" s="4">
        <f>IF(B6="Expense",E6,0)</f>
        <v>461</v>
      </c>
    </row>
    <row r="7" spans="1:8" x14ac:dyDescent="0.2">
      <c r="A7" s="3">
        <v>46033</v>
      </c>
      <c r="B7" s="2" t="s">
        <v>7</v>
      </c>
      <c r="C7" s="2" t="s">
        <v>18</v>
      </c>
      <c r="D7" s="2" t="s">
        <v>19</v>
      </c>
      <c r="E7" s="4">
        <v>285</v>
      </c>
      <c r="F7" s="2" t="str">
        <f>TEXT(A7,"mmm")</f>
        <v>Jan</v>
      </c>
      <c r="G7" s="4">
        <f>IF(B7="Income",E7,0)</f>
        <v>0</v>
      </c>
      <c r="H7" s="4">
        <f>IF(B7="Expense",E7,0)</f>
        <v>285</v>
      </c>
    </row>
    <row r="8" spans="1:8" x14ac:dyDescent="0.2">
      <c r="A8" s="3">
        <v>46036</v>
      </c>
      <c r="B8" s="2" t="s">
        <v>7</v>
      </c>
      <c r="C8" s="2" t="s">
        <v>20</v>
      </c>
      <c r="D8" s="2" t="s">
        <v>21</v>
      </c>
      <c r="E8" s="4">
        <v>649</v>
      </c>
      <c r="F8" s="2" t="str">
        <f>TEXT(A8,"mmm")</f>
        <v>Jan</v>
      </c>
      <c r="G8" s="4">
        <f>IF(B8="Income",E8,0)</f>
        <v>0</v>
      </c>
      <c r="H8" s="4">
        <f>IF(B8="Expense",E8,0)</f>
        <v>649</v>
      </c>
    </row>
    <row r="9" spans="1:8" x14ac:dyDescent="0.2">
      <c r="A9" s="3">
        <v>46039</v>
      </c>
      <c r="B9" s="2" t="s">
        <v>7</v>
      </c>
      <c r="C9" s="2" t="s">
        <v>22</v>
      </c>
      <c r="D9" s="2" t="s">
        <v>23</v>
      </c>
      <c r="E9" s="4">
        <v>366</v>
      </c>
      <c r="F9" s="2" t="str">
        <f>TEXT(A9,"mmm")</f>
        <v>Jan</v>
      </c>
      <c r="G9" s="4">
        <f>IF(B9="Income",E9,0)</f>
        <v>0</v>
      </c>
      <c r="H9" s="4">
        <f>IF(B9="Expense",E9,0)</f>
        <v>366</v>
      </c>
    </row>
    <row r="10" spans="1:8" x14ac:dyDescent="0.2">
      <c r="A10" s="3">
        <v>46042</v>
      </c>
      <c r="B10" s="2" t="s">
        <v>7</v>
      </c>
      <c r="C10" s="2" t="s">
        <v>24</v>
      </c>
      <c r="D10" s="2" t="s">
        <v>25</v>
      </c>
      <c r="E10" s="4">
        <v>2343</v>
      </c>
      <c r="F10" s="2" t="str">
        <f>TEXT(A10,"mmm")</f>
        <v>Jan</v>
      </c>
      <c r="G10" s="4">
        <f>IF(B10="Income",E10,0)</f>
        <v>0</v>
      </c>
      <c r="H10" s="4">
        <f>IF(B10="Expense",E10,0)</f>
        <v>2343</v>
      </c>
    </row>
    <row r="11" spans="1:8" x14ac:dyDescent="0.2">
      <c r="A11" s="3">
        <v>46056</v>
      </c>
      <c r="B11" s="2" t="s">
        <v>6</v>
      </c>
      <c r="C11" s="2" t="s">
        <v>8</v>
      </c>
      <c r="D11" s="2" t="s">
        <v>26</v>
      </c>
      <c r="E11" s="4">
        <v>4732</v>
      </c>
      <c r="F11" s="2" t="str">
        <f>TEXT(A11,"mmm")</f>
        <v>Feb</v>
      </c>
      <c r="G11" s="4">
        <f>IF(B11="Income",E11,0)</f>
        <v>4732</v>
      </c>
      <c r="H11" s="4">
        <f>IF(B11="Expense",E11,0)</f>
        <v>0</v>
      </c>
    </row>
    <row r="12" spans="1:8" x14ac:dyDescent="0.2">
      <c r="A12" s="3">
        <v>46063</v>
      </c>
      <c r="B12" s="2" t="s">
        <v>6</v>
      </c>
      <c r="C12" s="2" t="s">
        <v>10</v>
      </c>
      <c r="D12" s="2" t="s">
        <v>27</v>
      </c>
      <c r="E12" s="4">
        <v>2315</v>
      </c>
      <c r="F12" s="2" t="str">
        <f>TEXT(A12,"mmm")</f>
        <v>Feb</v>
      </c>
      <c r="G12" s="4">
        <f>IF(B12="Income",E12,0)</f>
        <v>2315</v>
      </c>
      <c r="H12" s="4">
        <f>IF(B12="Expense",E12,0)</f>
        <v>0</v>
      </c>
    </row>
    <row r="13" spans="1:8" x14ac:dyDescent="0.2">
      <c r="A13" s="3">
        <v>46070</v>
      </c>
      <c r="B13" s="2" t="s">
        <v>6</v>
      </c>
      <c r="C13" s="2" t="s">
        <v>12</v>
      </c>
      <c r="D13" s="2" t="s">
        <v>28</v>
      </c>
      <c r="E13" s="4">
        <v>4831</v>
      </c>
      <c r="F13" s="2" t="str">
        <f>TEXT(A13,"mmm")</f>
        <v>Feb</v>
      </c>
      <c r="G13" s="4">
        <f>IF(B13="Income",E13,0)</f>
        <v>4831</v>
      </c>
      <c r="H13" s="4">
        <f>IF(B13="Expense",E13,0)</f>
        <v>0</v>
      </c>
    </row>
    <row r="14" spans="1:8" x14ac:dyDescent="0.2">
      <c r="A14" s="3">
        <v>46058</v>
      </c>
      <c r="B14" s="2" t="s">
        <v>7</v>
      </c>
      <c r="C14" s="2" t="s">
        <v>14</v>
      </c>
      <c r="D14" s="2" t="s">
        <v>29</v>
      </c>
      <c r="E14" s="4">
        <v>1207</v>
      </c>
      <c r="F14" s="2" t="str">
        <f>TEXT(A14,"mmm")</f>
        <v>Feb</v>
      </c>
      <c r="G14" s="4">
        <f>IF(B14="Income",E14,0)</f>
        <v>0</v>
      </c>
      <c r="H14" s="4">
        <f>IF(B14="Expense",E14,0)</f>
        <v>1207</v>
      </c>
    </row>
    <row r="15" spans="1:8" x14ac:dyDescent="0.2">
      <c r="A15" s="3">
        <v>46061</v>
      </c>
      <c r="B15" s="2" t="s">
        <v>7</v>
      </c>
      <c r="C15" s="2" t="s">
        <v>16</v>
      </c>
      <c r="D15" s="2" t="s">
        <v>30</v>
      </c>
      <c r="E15" s="4">
        <v>447</v>
      </c>
      <c r="F15" s="2" t="str">
        <f>TEXT(A15,"mmm")</f>
        <v>Feb</v>
      </c>
      <c r="G15" s="4">
        <f>IF(B15="Income",E15,0)</f>
        <v>0</v>
      </c>
      <c r="H15" s="4">
        <f>IF(B15="Expense",E15,0)</f>
        <v>447</v>
      </c>
    </row>
    <row r="16" spans="1:8" x14ac:dyDescent="0.2">
      <c r="A16" s="3">
        <v>46064</v>
      </c>
      <c r="B16" s="2" t="s">
        <v>7</v>
      </c>
      <c r="C16" s="2" t="s">
        <v>18</v>
      </c>
      <c r="D16" s="2" t="s">
        <v>31</v>
      </c>
      <c r="E16" s="4">
        <v>632</v>
      </c>
      <c r="F16" s="2" t="str">
        <f>TEXT(A16,"mmm")</f>
        <v>Feb</v>
      </c>
      <c r="G16" s="4">
        <f>IF(B16="Income",E16,0)</f>
        <v>0</v>
      </c>
      <c r="H16" s="4">
        <f>IF(B16="Expense",E16,0)</f>
        <v>632</v>
      </c>
    </row>
    <row r="17" spans="1:8" x14ac:dyDescent="0.2">
      <c r="A17" s="3">
        <v>46067</v>
      </c>
      <c r="B17" s="2" t="s">
        <v>7</v>
      </c>
      <c r="C17" s="2" t="s">
        <v>20</v>
      </c>
      <c r="D17" s="2" t="s">
        <v>32</v>
      </c>
      <c r="E17" s="4">
        <v>931</v>
      </c>
      <c r="F17" s="2" t="str">
        <f>TEXT(A17,"mmm")</f>
        <v>Feb</v>
      </c>
      <c r="G17" s="4">
        <f>IF(B17="Income",E17,0)</f>
        <v>0</v>
      </c>
      <c r="H17" s="4">
        <f>IF(B17="Expense",E17,0)</f>
        <v>931</v>
      </c>
    </row>
    <row r="18" spans="1:8" x14ac:dyDescent="0.2">
      <c r="A18" s="3">
        <v>46070</v>
      </c>
      <c r="B18" s="2" t="s">
        <v>7</v>
      </c>
      <c r="C18" s="2" t="s">
        <v>22</v>
      </c>
      <c r="D18" s="2" t="s">
        <v>33</v>
      </c>
      <c r="E18" s="4">
        <v>445</v>
      </c>
      <c r="F18" s="2" t="str">
        <f>TEXT(A18,"mmm")</f>
        <v>Feb</v>
      </c>
      <c r="G18" s="4">
        <f>IF(B18="Income",E18,0)</f>
        <v>0</v>
      </c>
      <c r="H18" s="4">
        <f>IF(B18="Expense",E18,0)</f>
        <v>445</v>
      </c>
    </row>
    <row r="19" spans="1:8" x14ac:dyDescent="0.2">
      <c r="A19" s="3">
        <v>46073</v>
      </c>
      <c r="B19" s="2" t="s">
        <v>7</v>
      </c>
      <c r="C19" s="2" t="s">
        <v>24</v>
      </c>
      <c r="D19" s="2" t="s">
        <v>34</v>
      </c>
      <c r="E19" s="4">
        <v>2390</v>
      </c>
      <c r="F19" s="2" t="str">
        <f>TEXT(A19,"mmm")</f>
        <v>Feb</v>
      </c>
      <c r="G19" s="4">
        <f>IF(B19="Income",E19,0)</f>
        <v>0</v>
      </c>
      <c r="H19" s="4">
        <f>IF(B19="Expense",E19,0)</f>
        <v>2390</v>
      </c>
    </row>
    <row r="20" spans="1:8" x14ac:dyDescent="0.2">
      <c r="A20" s="3">
        <v>46084</v>
      </c>
      <c r="B20" s="2" t="s">
        <v>6</v>
      </c>
      <c r="C20" s="2" t="s">
        <v>8</v>
      </c>
      <c r="D20" s="2" t="s">
        <v>35</v>
      </c>
      <c r="E20" s="4">
        <v>5147</v>
      </c>
      <c r="F20" s="2" t="str">
        <f>TEXT(A20,"mmm")</f>
        <v>Mar</v>
      </c>
      <c r="G20" s="4">
        <f>IF(B20="Income",E20,0)</f>
        <v>5147</v>
      </c>
      <c r="H20" s="4">
        <f>IF(B20="Expense",E20,0)</f>
        <v>0</v>
      </c>
    </row>
    <row r="21" spans="1:8" x14ac:dyDescent="0.2">
      <c r="A21" s="3">
        <v>46091</v>
      </c>
      <c r="B21" s="2" t="s">
        <v>6</v>
      </c>
      <c r="C21" s="2" t="s">
        <v>10</v>
      </c>
      <c r="D21" s="2" t="s">
        <v>36</v>
      </c>
      <c r="E21" s="4">
        <v>2062</v>
      </c>
      <c r="F21" s="2" t="str">
        <f>TEXT(A21,"mmm")</f>
        <v>Mar</v>
      </c>
      <c r="G21" s="4">
        <f>IF(B21="Income",E21,0)</f>
        <v>2062</v>
      </c>
      <c r="H21" s="4">
        <f>IF(B21="Expense",E21,0)</f>
        <v>0</v>
      </c>
    </row>
    <row r="22" spans="1:8" x14ac:dyDescent="0.2">
      <c r="A22" s="3">
        <v>46098</v>
      </c>
      <c r="B22" s="2" t="s">
        <v>6</v>
      </c>
      <c r="C22" s="2" t="s">
        <v>12</v>
      </c>
      <c r="D22" s="2" t="s">
        <v>37</v>
      </c>
      <c r="E22" s="4">
        <v>3817</v>
      </c>
      <c r="F22" s="2" t="str">
        <f>TEXT(A22,"mmm")</f>
        <v>Mar</v>
      </c>
      <c r="G22" s="4">
        <f>IF(B22="Income",E22,0)</f>
        <v>3817</v>
      </c>
      <c r="H22" s="4">
        <f>IF(B22="Expense",E22,0)</f>
        <v>0</v>
      </c>
    </row>
    <row r="23" spans="1:8" x14ac:dyDescent="0.2">
      <c r="A23" s="3">
        <v>46086</v>
      </c>
      <c r="B23" s="2" t="s">
        <v>7</v>
      </c>
      <c r="C23" s="2" t="s">
        <v>14</v>
      </c>
      <c r="D23" s="2" t="s">
        <v>38</v>
      </c>
      <c r="E23" s="4">
        <v>1079</v>
      </c>
      <c r="F23" s="2" t="str">
        <f>TEXT(A23,"mmm")</f>
        <v>Mar</v>
      </c>
      <c r="G23" s="4">
        <f>IF(B23="Income",E23,0)</f>
        <v>0</v>
      </c>
      <c r="H23" s="4">
        <f>IF(B23="Expense",E23,0)</f>
        <v>1079</v>
      </c>
    </row>
    <row r="24" spans="1:8" x14ac:dyDescent="0.2">
      <c r="A24" s="3">
        <v>46089</v>
      </c>
      <c r="B24" s="2" t="s">
        <v>7</v>
      </c>
      <c r="C24" s="2" t="s">
        <v>16</v>
      </c>
      <c r="D24" s="2" t="s">
        <v>39</v>
      </c>
      <c r="E24" s="4">
        <v>833</v>
      </c>
      <c r="F24" s="2" t="str">
        <f>TEXT(A24,"mmm")</f>
        <v>Mar</v>
      </c>
      <c r="G24" s="4">
        <f>IF(B24="Income",E24,0)</f>
        <v>0</v>
      </c>
      <c r="H24" s="4">
        <f>IF(B24="Expense",E24,0)</f>
        <v>833</v>
      </c>
    </row>
    <row r="25" spans="1:8" x14ac:dyDescent="0.2">
      <c r="A25" s="3">
        <v>46092</v>
      </c>
      <c r="B25" s="2" t="s">
        <v>7</v>
      </c>
      <c r="C25" s="2" t="s">
        <v>18</v>
      </c>
      <c r="D25" s="2" t="s">
        <v>40</v>
      </c>
      <c r="E25" s="4">
        <v>609</v>
      </c>
      <c r="F25" s="2" t="str">
        <f>TEXT(A25,"mmm")</f>
        <v>Mar</v>
      </c>
      <c r="G25" s="4">
        <f>IF(B25="Income",E25,0)</f>
        <v>0</v>
      </c>
      <c r="H25" s="4">
        <f>IF(B25="Expense",E25,0)</f>
        <v>609</v>
      </c>
    </row>
    <row r="26" spans="1:8" x14ac:dyDescent="0.2">
      <c r="A26" s="3">
        <v>46095</v>
      </c>
      <c r="B26" s="2" t="s">
        <v>7</v>
      </c>
      <c r="C26" s="2" t="s">
        <v>20</v>
      </c>
      <c r="D26" s="2" t="s">
        <v>41</v>
      </c>
      <c r="E26" s="4">
        <v>915</v>
      </c>
      <c r="F26" s="2" t="str">
        <f>TEXT(A26,"mmm")</f>
        <v>Mar</v>
      </c>
      <c r="G26" s="4">
        <f>IF(B26="Income",E26,0)</f>
        <v>0</v>
      </c>
      <c r="H26" s="4">
        <f>IF(B26="Expense",E26,0)</f>
        <v>915</v>
      </c>
    </row>
    <row r="27" spans="1:8" x14ac:dyDescent="0.2">
      <c r="A27" s="3">
        <v>46098</v>
      </c>
      <c r="B27" s="2" t="s">
        <v>7</v>
      </c>
      <c r="C27" s="2" t="s">
        <v>22</v>
      </c>
      <c r="D27" s="2" t="s">
        <v>42</v>
      </c>
      <c r="E27" s="4">
        <v>379</v>
      </c>
      <c r="F27" s="2" t="str">
        <f>TEXT(A27,"mmm")</f>
        <v>Mar</v>
      </c>
      <c r="G27" s="4">
        <f>IF(B27="Income",E27,0)</f>
        <v>0</v>
      </c>
      <c r="H27" s="4">
        <f>IF(B27="Expense",E27,0)</f>
        <v>379</v>
      </c>
    </row>
    <row r="28" spans="1:8" x14ac:dyDescent="0.2">
      <c r="A28" s="3">
        <v>46101</v>
      </c>
      <c r="B28" s="2" t="s">
        <v>7</v>
      </c>
      <c r="C28" s="2" t="s">
        <v>24</v>
      </c>
      <c r="D28" s="2" t="s">
        <v>43</v>
      </c>
      <c r="E28" s="4">
        <v>2054</v>
      </c>
      <c r="F28" s="2" t="str">
        <f>TEXT(A28,"mmm")</f>
        <v>Mar</v>
      </c>
      <c r="G28" s="4">
        <f>IF(B28="Income",E28,0)</f>
        <v>0</v>
      </c>
      <c r="H28" s="4">
        <f>IF(B28="Expense",E28,0)</f>
        <v>2054</v>
      </c>
    </row>
    <row r="29" spans="1:8" x14ac:dyDescent="0.2">
      <c r="A29" s="3">
        <v>46115</v>
      </c>
      <c r="B29" s="2" t="s">
        <v>6</v>
      </c>
      <c r="C29" s="2" t="s">
        <v>8</v>
      </c>
      <c r="D29" s="2" t="s">
        <v>44</v>
      </c>
      <c r="E29" s="4">
        <v>4197</v>
      </c>
      <c r="F29" s="2" t="str">
        <f>TEXT(A29,"mmm")</f>
        <v>Apr</v>
      </c>
      <c r="G29" s="4">
        <f>IF(B29="Income",E29,0)</f>
        <v>4197</v>
      </c>
      <c r="H29" s="4">
        <f>IF(B29="Expense",E29,0)</f>
        <v>0</v>
      </c>
    </row>
    <row r="30" spans="1:8" x14ac:dyDescent="0.2">
      <c r="A30" s="3">
        <v>46122</v>
      </c>
      <c r="B30" s="2" t="s">
        <v>6</v>
      </c>
      <c r="C30" s="2" t="s">
        <v>10</v>
      </c>
      <c r="D30" s="2" t="s">
        <v>45</v>
      </c>
      <c r="E30" s="4">
        <v>2770</v>
      </c>
      <c r="F30" s="2" t="str">
        <f>TEXT(A30,"mmm")</f>
        <v>Apr</v>
      </c>
      <c r="G30" s="4">
        <f>IF(B30="Income",E30,0)</f>
        <v>2770</v>
      </c>
      <c r="H30" s="4">
        <f>IF(B30="Expense",E30,0)</f>
        <v>0</v>
      </c>
    </row>
    <row r="31" spans="1:8" x14ac:dyDescent="0.2">
      <c r="A31" s="3">
        <v>46129</v>
      </c>
      <c r="B31" s="2" t="s">
        <v>6</v>
      </c>
      <c r="C31" s="2" t="s">
        <v>12</v>
      </c>
      <c r="D31" s="2" t="s">
        <v>46</v>
      </c>
      <c r="E31" s="4">
        <v>4092</v>
      </c>
      <c r="F31" s="2" t="str">
        <f>TEXT(A31,"mmm")</f>
        <v>Apr</v>
      </c>
      <c r="G31" s="4">
        <f>IF(B31="Income",E31,0)</f>
        <v>4092</v>
      </c>
      <c r="H31" s="4">
        <f>IF(B31="Expense",E31,0)</f>
        <v>0</v>
      </c>
    </row>
    <row r="32" spans="1:8" x14ac:dyDescent="0.2">
      <c r="A32" s="3">
        <v>46117</v>
      </c>
      <c r="B32" s="2" t="s">
        <v>7</v>
      </c>
      <c r="C32" s="2" t="s">
        <v>14</v>
      </c>
      <c r="D32" s="2" t="s">
        <v>47</v>
      </c>
      <c r="E32" s="4">
        <v>1238</v>
      </c>
      <c r="F32" s="2" t="str">
        <f>TEXT(A32,"mmm")</f>
        <v>Apr</v>
      </c>
      <c r="G32" s="4">
        <f>IF(B32="Income",E32,0)</f>
        <v>0</v>
      </c>
      <c r="H32" s="4">
        <f>IF(B32="Expense",E32,0)</f>
        <v>1238</v>
      </c>
    </row>
    <row r="33" spans="1:8" x14ac:dyDescent="0.2">
      <c r="A33" s="3">
        <v>46120</v>
      </c>
      <c r="B33" s="2" t="s">
        <v>7</v>
      </c>
      <c r="C33" s="2" t="s">
        <v>16</v>
      </c>
      <c r="D33" s="2" t="s">
        <v>48</v>
      </c>
      <c r="E33" s="4">
        <v>842</v>
      </c>
      <c r="F33" s="2" t="str">
        <f>TEXT(A33,"mmm")</f>
        <v>Apr</v>
      </c>
      <c r="G33" s="4">
        <f>IF(B33="Income",E33,0)</f>
        <v>0</v>
      </c>
      <c r="H33" s="4">
        <f>IF(B33="Expense",E33,0)</f>
        <v>842</v>
      </c>
    </row>
    <row r="34" spans="1:8" x14ac:dyDescent="0.2">
      <c r="A34" s="3">
        <v>46123</v>
      </c>
      <c r="B34" s="2" t="s">
        <v>7</v>
      </c>
      <c r="C34" s="2" t="s">
        <v>18</v>
      </c>
      <c r="D34" s="2" t="s">
        <v>49</v>
      </c>
      <c r="E34" s="4">
        <v>487</v>
      </c>
      <c r="F34" s="2" t="str">
        <f>TEXT(A34,"mmm")</f>
        <v>Apr</v>
      </c>
      <c r="G34" s="4">
        <f>IF(B34="Income",E34,0)</f>
        <v>0</v>
      </c>
      <c r="H34" s="4">
        <f>IF(B34="Expense",E34,0)</f>
        <v>487</v>
      </c>
    </row>
    <row r="35" spans="1:8" x14ac:dyDescent="0.2">
      <c r="A35" s="3">
        <v>46126</v>
      </c>
      <c r="B35" s="2" t="s">
        <v>7</v>
      </c>
      <c r="C35" s="2" t="s">
        <v>20</v>
      </c>
      <c r="D35" s="2" t="s">
        <v>50</v>
      </c>
      <c r="E35" s="4">
        <v>959</v>
      </c>
      <c r="F35" s="2" t="str">
        <f>TEXT(A35,"mmm")</f>
        <v>Apr</v>
      </c>
      <c r="G35" s="4">
        <f>IF(B35="Income",E35,0)</f>
        <v>0</v>
      </c>
      <c r="H35" s="4">
        <f>IF(B35="Expense",E35,0)</f>
        <v>959</v>
      </c>
    </row>
    <row r="36" spans="1:8" x14ac:dyDescent="0.2">
      <c r="A36" s="3">
        <v>46129</v>
      </c>
      <c r="B36" s="2" t="s">
        <v>7</v>
      </c>
      <c r="C36" s="2" t="s">
        <v>22</v>
      </c>
      <c r="D36" s="2" t="s">
        <v>51</v>
      </c>
      <c r="E36" s="4">
        <v>495</v>
      </c>
      <c r="F36" s="2" t="str">
        <f>TEXT(A36,"mmm")</f>
        <v>Apr</v>
      </c>
      <c r="G36" s="4">
        <f>IF(B36="Income",E36,0)</f>
        <v>0</v>
      </c>
      <c r="H36" s="4">
        <f>IF(B36="Expense",E36,0)</f>
        <v>495</v>
      </c>
    </row>
    <row r="37" spans="1:8" x14ac:dyDescent="0.2">
      <c r="A37" s="3">
        <v>46132</v>
      </c>
      <c r="B37" s="2" t="s">
        <v>7</v>
      </c>
      <c r="C37" s="2" t="s">
        <v>24</v>
      </c>
      <c r="D37" s="2" t="s">
        <v>52</v>
      </c>
      <c r="E37" s="4">
        <v>2315</v>
      </c>
      <c r="F37" s="2" t="str">
        <f>TEXT(A37,"mmm")</f>
        <v>Apr</v>
      </c>
      <c r="G37" s="4">
        <f>IF(B37="Income",E37,0)</f>
        <v>0</v>
      </c>
      <c r="H37" s="4">
        <f>IF(B37="Expense",E37,0)</f>
        <v>2315</v>
      </c>
    </row>
    <row r="38" spans="1:8" x14ac:dyDescent="0.2">
      <c r="A38" s="3">
        <v>46145</v>
      </c>
      <c r="B38" s="2" t="s">
        <v>6</v>
      </c>
      <c r="C38" s="2" t="s">
        <v>8</v>
      </c>
      <c r="D38" s="2" t="s">
        <v>53</v>
      </c>
      <c r="E38" s="4">
        <v>2498</v>
      </c>
      <c r="F38" s="2" t="str">
        <f>TEXT(A38,"mmm")</f>
        <v>May</v>
      </c>
      <c r="G38" s="4">
        <f>IF(B38="Income",E38,0)</f>
        <v>2498</v>
      </c>
      <c r="H38" s="4">
        <f>IF(B38="Expense",E38,0)</f>
        <v>0</v>
      </c>
    </row>
    <row r="39" spans="1:8" x14ac:dyDescent="0.2">
      <c r="A39" s="3">
        <v>46152</v>
      </c>
      <c r="B39" s="2" t="s">
        <v>6</v>
      </c>
      <c r="C39" s="2" t="s">
        <v>10</v>
      </c>
      <c r="D39" s="2" t="s">
        <v>54</v>
      </c>
      <c r="E39" s="4">
        <v>4964</v>
      </c>
      <c r="F39" s="2" t="str">
        <f>TEXT(A39,"mmm")</f>
        <v>May</v>
      </c>
      <c r="G39" s="4">
        <f>IF(B39="Income",E39,0)</f>
        <v>4964</v>
      </c>
      <c r="H39" s="4">
        <f>IF(B39="Expense",E39,0)</f>
        <v>0</v>
      </c>
    </row>
    <row r="40" spans="1:8" x14ac:dyDescent="0.2">
      <c r="A40" s="3">
        <v>46159</v>
      </c>
      <c r="B40" s="2" t="s">
        <v>6</v>
      </c>
      <c r="C40" s="2" t="s">
        <v>12</v>
      </c>
      <c r="D40" s="2" t="s">
        <v>55</v>
      </c>
      <c r="E40" s="4">
        <v>5265</v>
      </c>
      <c r="F40" s="2" t="str">
        <f>TEXT(A40,"mmm")</f>
        <v>May</v>
      </c>
      <c r="G40" s="4">
        <f>IF(B40="Income",E40,0)</f>
        <v>5265</v>
      </c>
      <c r="H40" s="4">
        <f>IF(B40="Expense",E40,0)</f>
        <v>0</v>
      </c>
    </row>
    <row r="41" spans="1:8" x14ac:dyDescent="0.2">
      <c r="A41" s="3">
        <v>46147</v>
      </c>
      <c r="B41" s="2" t="s">
        <v>7</v>
      </c>
      <c r="C41" s="2" t="s">
        <v>14</v>
      </c>
      <c r="D41" s="2" t="s">
        <v>56</v>
      </c>
      <c r="E41" s="4">
        <v>1010</v>
      </c>
      <c r="F41" s="2" t="str">
        <f>TEXT(A41,"mmm")</f>
        <v>May</v>
      </c>
      <c r="G41" s="4">
        <f>IF(B41="Income",E41,0)</f>
        <v>0</v>
      </c>
      <c r="H41" s="4">
        <f>IF(B41="Expense",E41,0)</f>
        <v>1010</v>
      </c>
    </row>
    <row r="42" spans="1:8" x14ac:dyDescent="0.2">
      <c r="A42" s="3">
        <v>46150</v>
      </c>
      <c r="B42" s="2" t="s">
        <v>7</v>
      </c>
      <c r="C42" s="2" t="s">
        <v>16</v>
      </c>
      <c r="D42" s="2" t="s">
        <v>57</v>
      </c>
      <c r="E42" s="4">
        <v>861</v>
      </c>
      <c r="F42" s="2" t="str">
        <f>TEXT(A42,"mmm")</f>
        <v>May</v>
      </c>
      <c r="G42" s="4">
        <f>IF(B42="Income",E42,0)</f>
        <v>0</v>
      </c>
      <c r="H42" s="4">
        <f>IF(B42="Expense",E42,0)</f>
        <v>861</v>
      </c>
    </row>
    <row r="43" spans="1:8" x14ac:dyDescent="0.2">
      <c r="A43" s="3">
        <v>46153</v>
      </c>
      <c r="B43" s="2" t="s">
        <v>7</v>
      </c>
      <c r="C43" s="2" t="s">
        <v>18</v>
      </c>
      <c r="D43" s="2" t="s">
        <v>58</v>
      </c>
      <c r="E43" s="4">
        <v>593</v>
      </c>
      <c r="F43" s="2" t="str">
        <f>TEXT(A43,"mmm")</f>
        <v>May</v>
      </c>
      <c r="G43" s="4">
        <f>IF(B43="Income",E43,0)</f>
        <v>0</v>
      </c>
      <c r="H43" s="4">
        <f>IF(B43="Expense",E43,0)</f>
        <v>593</v>
      </c>
    </row>
    <row r="44" spans="1:8" x14ac:dyDescent="0.2">
      <c r="A44" s="3">
        <v>46156</v>
      </c>
      <c r="B44" s="2" t="s">
        <v>7</v>
      </c>
      <c r="C44" s="2" t="s">
        <v>20</v>
      </c>
      <c r="D44" s="2" t="s">
        <v>59</v>
      </c>
      <c r="E44" s="4">
        <v>710</v>
      </c>
      <c r="F44" s="2" t="str">
        <f>TEXT(A44,"mmm")</f>
        <v>May</v>
      </c>
      <c r="G44" s="4">
        <f>IF(B44="Income",E44,0)</f>
        <v>0</v>
      </c>
      <c r="H44" s="4">
        <f>IF(B44="Expense",E44,0)</f>
        <v>710</v>
      </c>
    </row>
    <row r="45" spans="1:8" x14ac:dyDescent="0.2">
      <c r="A45" s="3">
        <v>46159</v>
      </c>
      <c r="B45" s="2" t="s">
        <v>7</v>
      </c>
      <c r="C45" s="2" t="s">
        <v>22</v>
      </c>
      <c r="D45" s="2" t="s">
        <v>60</v>
      </c>
      <c r="E45" s="4">
        <v>708</v>
      </c>
      <c r="F45" s="2" t="str">
        <f>TEXT(A45,"mmm")</f>
        <v>May</v>
      </c>
      <c r="G45" s="4">
        <f>IF(B45="Income",E45,0)</f>
        <v>0</v>
      </c>
      <c r="H45" s="4">
        <f>IF(B45="Expense",E45,0)</f>
        <v>708</v>
      </c>
    </row>
    <row r="46" spans="1:8" x14ac:dyDescent="0.2">
      <c r="A46" s="3">
        <v>46162</v>
      </c>
      <c r="B46" s="2" t="s">
        <v>7</v>
      </c>
      <c r="C46" s="2" t="s">
        <v>24</v>
      </c>
      <c r="D46" s="2" t="s">
        <v>61</v>
      </c>
      <c r="E46" s="4">
        <v>2247</v>
      </c>
      <c r="F46" s="2" t="str">
        <f>TEXT(A46,"mmm")</f>
        <v>May</v>
      </c>
      <c r="G46" s="4">
        <f>IF(B46="Income",E46,0)</f>
        <v>0</v>
      </c>
      <c r="H46" s="4">
        <f>IF(B46="Expense",E46,0)</f>
        <v>2247</v>
      </c>
    </row>
    <row r="47" spans="1:8" x14ac:dyDescent="0.2">
      <c r="A47" s="3">
        <v>46176</v>
      </c>
      <c r="B47" s="2" t="s">
        <v>6</v>
      </c>
      <c r="C47" s="2" t="s">
        <v>8</v>
      </c>
      <c r="D47" s="2" t="s">
        <v>62</v>
      </c>
      <c r="E47" s="4">
        <v>3470</v>
      </c>
      <c r="F47" s="2" t="str">
        <f>TEXT(A47,"mmm")</f>
        <v>Jun</v>
      </c>
      <c r="G47" s="4">
        <f>IF(B47="Income",E47,0)</f>
        <v>3470</v>
      </c>
      <c r="H47" s="4">
        <f>IF(B47="Expense",E47,0)</f>
        <v>0</v>
      </c>
    </row>
    <row r="48" spans="1:8" x14ac:dyDescent="0.2">
      <c r="A48" s="3">
        <v>46183</v>
      </c>
      <c r="B48" s="2" t="s">
        <v>6</v>
      </c>
      <c r="C48" s="2" t="s">
        <v>10</v>
      </c>
      <c r="D48" s="2" t="s">
        <v>63</v>
      </c>
      <c r="E48" s="4">
        <v>2525</v>
      </c>
      <c r="F48" s="2" t="str">
        <f>TEXT(A48,"mmm")</f>
        <v>Jun</v>
      </c>
      <c r="G48" s="4">
        <f>IF(B48="Income",E48,0)</f>
        <v>2525</v>
      </c>
      <c r="H48" s="4">
        <f>IF(B48="Expense",E48,0)</f>
        <v>0</v>
      </c>
    </row>
    <row r="49" spans="1:8" x14ac:dyDescent="0.2">
      <c r="A49" s="3">
        <v>46190</v>
      </c>
      <c r="B49" s="2" t="s">
        <v>6</v>
      </c>
      <c r="C49" s="2" t="s">
        <v>12</v>
      </c>
      <c r="D49" s="2" t="s">
        <v>64</v>
      </c>
      <c r="E49" s="4">
        <v>4440</v>
      </c>
      <c r="F49" s="2" t="str">
        <f>TEXT(A49,"mmm")</f>
        <v>Jun</v>
      </c>
      <c r="G49" s="4">
        <f>IF(B49="Income",E49,0)</f>
        <v>4440</v>
      </c>
      <c r="H49" s="4">
        <f>IF(B49="Expense",E49,0)</f>
        <v>0</v>
      </c>
    </row>
    <row r="50" spans="1:8" x14ac:dyDescent="0.2">
      <c r="A50" s="3">
        <v>46178</v>
      </c>
      <c r="B50" s="2" t="s">
        <v>7</v>
      </c>
      <c r="C50" s="2" t="s">
        <v>14</v>
      </c>
      <c r="D50" s="2" t="s">
        <v>65</v>
      </c>
      <c r="E50" s="4">
        <v>1232</v>
      </c>
      <c r="F50" s="2" t="str">
        <f>TEXT(A50,"mmm")</f>
        <v>Jun</v>
      </c>
      <c r="G50" s="4">
        <f>IF(B50="Income",E50,0)</f>
        <v>0</v>
      </c>
      <c r="H50" s="4">
        <f>IF(B50="Expense",E50,0)</f>
        <v>1232</v>
      </c>
    </row>
    <row r="51" spans="1:8" x14ac:dyDescent="0.2">
      <c r="A51" s="3">
        <v>46181</v>
      </c>
      <c r="B51" s="2" t="s">
        <v>7</v>
      </c>
      <c r="C51" s="2" t="s">
        <v>16</v>
      </c>
      <c r="D51" s="2" t="s">
        <v>66</v>
      </c>
      <c r="E51" s="4">
        <v>637</v>
      </c>
      <c r="F51" s="2" t="str">
        <f>TEXT(A51,"mmm")</f>
        <v>Jun</v>
      </c>
      <c r="G51" s="4">
        <f>IF(B51="Income",E51,0)</f>
        <v>0</v>
      </c>
      <c r="H51" s="4">
        <f>IF(B51="Expense",E51,0)</f>
        <v>637</v>
      </c>
    </row>
    <row r="52" spans="1:8" x14ac:dyDescent="0.2">
      <c r="A52" s="3">
        <v>46184</v>
      </c>
      <c r="B52" s="2" t="s">
        <v>7</v>
      </c>
      <c r="C52" s="2" t="s">
        <v>18</v>
      </c>
      <c r="D52" s="2" t="s">
        <v>67</v>
      </c>
      <c r="E52" s="4">
        <v>638</v>
      </c>
      <c r="F52" s="2" t="str">
        <f>TEXT(A52,"mmm")</f>
        <v>Jun</v>
      </c>
      <c r="G52" s="4">
        <f>IF(B52="Income",E52,0)</f>
        <v>0</v>
      </c>
      <c r="H52" s="4">
        <f>IF(B52="Expense",E52,0)</f>
        <v>638</v>
      </c>
    </row>
    <row r="53" spans="1:8" x14ac:dyDescent="0.2">
      <c r="A53" s="3">
        <v>46187</v>
      </c>
      <c r="B53" s="2" t="s">
        <v>7</v>
      </c>
      <c r="C53" s="2" t="s">
        <v>20</v>
      </c>
      <c r="D53" s="2" t="s">
        <v>68</v>
      </c>
      <c r="E53" s="4">
        <v>1107</v>
      </c>
      <c r="F53" s="2" t="str">
        <f>TEXT(A53,"mmm")</f>
        <v>Jun</v>
      </c>
      <c r="G53" s="4">
        <f>IF(B53="Income",E53,0)</f>
        <v>0</v>
      </c>
      <c r="H53" s="4">
        <f>IF(B53="Expense",E53,0)</f>
        <v>1107</v>
      </c>
    </row>
    <row r="54" spans="1:8" x14ac:dyDescent="0.2">
      <c r="A54" s="3">
        <v>46190</v>
      </c>
      <c r="B54" s="2" t="s">
        <v>7</v>
      </c>
      <c r="C54" s="2" t="s">
        <v>22</v>
      </c>
      <c r="D54" s="2" t="s">
        <v>69</v>
      </c>
      <c r="E54" s="4">
        <v>397</v>
      </c>
      <c r="F54" s="2" t="str">
        <f>TEXT(A54,"mmm")</f>
        <v>Jun</v>
      </c>
      <c r="G54" s="4">
        <f>IF(B54="Income",E54,0)</f>
        <v>0</v>
      </c>
      <c r="H54" s="4">
        <f>IF(B54="Expense",E54,0)</f>
        <v>397</v>
      </c>
    </row>
    <row r="55" spans="1:8" x14ac:dyDescent="0.2">
      <c r="A55" s="3">
        <v>46193</v>
      </c>
      <c r="B55" s="2" t="s">
        <v>7</v>
      </c>
      <c r="C55" s="2" t="s">
        <v>24</v>
      </c>
      <c r="D55" s="2" t="s">
        <v>70</v>
      </c>
      <c r="E55" s="4">
        <v>2209</v>
      </c>
      <c r="F55" s="2" t="str">
        <f>TEXT(A55,"mmm")</f>
        <v>Jun</v>
      </c>
      <c r="G55" s="4">
        <f>IF(B55="Income",E55,0)</f>
        <v>0</v>
      </c>
      <c r="H55" s="4">
        <f>IF(B55="Expense",E55,0)</f>
        <v>2209</v>
      </c>
    </row>
    <row r="56" spans="1:8" x14ac:dyDescent="0.2">
      <c r="A56" s="3">
        <v>46206</v>
      </c>
      <c r="B56" s="2" t="s">
        <v>6</v>
      </c>
      <c r="C56" s="2" t="s">
        <v>8</v>
      </c>
      <c r="D56" s="2" t="s">
        <v>71</v>
      </c>
      <c r="E56" s="4">
        <v>3585</v>
      </c>
      <c r="F56" s="2" t="str">
        <f>TEXT(A56,"mmm")</f>
        <v>Jul</v>
      </c>
      <c r="G56" s="4">
        <f>IF(B56="Income",E56,0)</f>
        <v>3585</v>
      </c>
      <c r="H56" s="4">
        <f>IF(B56="Expense",E56,0)</f>
        <v>0</v>
      </c>
    </row>
    <row r="57" spans="1:8" x14ac:dyDescent="0.2">
      <c r="A57" s="3">
        <v>46213</v>
      </c>
      <c r="B57" s="2" t="s">
        <v>6</v>
      </c>
      <c r="C57" s="2" t="s">
        <v>10</v>
      </c>
      <c r="D57" s="2" t="s">
        <v>72</v>
      </c>
      <c r="E57" s="4">
        <v>3678</v>
      </c>
      <c r="F57" s="2" t="str">
        <f>TEXT(A57,"mmm")</f>
        <v>Jul</v>
      </c>
      <c r="G57" s="4">
        <f>IF(B57="Income",E57,0)</f>
        <v>3678</v>
      </c>
      <c r="H57" s="4">
        <f>IF(B57="Expense",E57,0)</f>
        <v>0</v>
      </c>
    </row>
    <row r="58" spans="1:8" x14ac:dyDescent="0.2">
      <c r="A58" s="3">
        <v>46220</v>
      </c>
      <c r="B58" s="2" t="s">
        <v>6</v>
      </c>
      <c r="C58" s="2" t="s">
        <v>12</v>
      </c>
      <c r="D58" s="2" t="s">
        <v>73</v>
      </c>
      <c r="E58" s="4">
        <v>5333</v>
      </c>
      <c r="F58" s="2" t="str">
        <f>TEXT(A58,"mmm")</f>
        <v>Jul</v>
      </c>
      <c r="G58" s="4">
        <f>IF(B58="Income",E58,0)</f>
        <v>5333</v>
      </c>
      <c r="H58" s="4">
        <f>IF(B58="Expense",E58,0)</f>
        <v>0</v>
      </c>
    </row>
    <row r="59" spans="1:8" x14ac:dyDescent="0.2">
      <c r="A59" s="3">
        <v>46208</v>
      </c>
      <c r="B59" s="2" t="s">
        <v>7</v>
      </c>
      <c r="C59" s="2" t="s">
        <v>14</v>
      </c>
      <c r="D59" s="2" t="s">
        <v>74</v>
      </c>
      <c r="E59" s="4">
        <v>955</v>
      </c>
      <c r="F59" s="2" t="str">
        <f>TEXT(A59,"mmm")</f>
        <v>Jul</v>
      </c>
      <c r="G59" s="4">
        <f>IF(B59="Income",E59,0)</f>
        <v>0</v>
      </c>
      <c r="H59" s="4">
        <f>IF(B59="Expense",E59,0)</f>
        <v>955</v>
      </c>
    </row>
    <row r="60" spans="1:8" x14ac:dyDescent="0.2">
      <c r="A60" s="3">
        <v>46211</v>
      </c>
      <c r="B60" s="2" t="s">
        <v>7</v>
      </c>
      <c r="C60" s="2" t="s">
        <v>16</v>
      </c>
      <c r="D60" s="2" t="s">
        <v>75</v>
      </c>
      <c r="E60" s="4">
        <v>629</v>
      </c>
      <c r="F60" s="2" t="str">
        <f>TEXT(A60,"mmm")</f>
        <v>Jul</v>
      </c>
      <c r="G60" s="4">
        <f>IF(B60="Income",E60,0)</f>
        <v>0</v>
      </c>
      <c r="H60" s="4">
        <f>IF(B60="Expense",E60,0)</f>
        <v>629</v>
      </c>
    </row>
    <row r="61" spans="1:8" x14ac:dyDescent="0.2">
      <c r="A61" s="3">
        <v>46214</v>
      </c>
      <c r="B61" s="2" t="s">
        <v>7</v>
      </c>
      <c r="C61" s="2" t="s">
        <v>18</v>
      </c>
      <c r="D61" s="2" t="s">
        <v>76</v>
      </c>
      <c r="E61" s="4">
        <v>369</v>
      </c>
      <c r="F61" s="2" t="str">
        <f>TEXT(A61,"mmm")</f>
        <v>Jul</v>
      </c>
      <c r="G61" s="4">
        <f>IF(B61="Income",E61,0)</f>
        <v>0</v>
      </c>
      <c r="H61" s="4">
        <f>IF(B61="Expense",E61,0)</f>
        <v>369</v>
      </c>
    </row>
    <row r="62" spans="1:8" x14ac:dyDescent="0.2">
      <c r="A62" s="3">
        <v>46217</v>
      </c>
      <c r="B62" s="2" t="s">
        <v>7</v>
      </c>
      <c r="C62" s="2" t="s">
        <v>20</v>
      </c>
      <c r="D62" s="2" t="s">
        <v>77</v>
      </c>
      <c r="E62" s="4">
        <v>795</v>
      </c>
      <c r="F62" s="2" t="str">
        <f>TEXT(A62,"mmm")</f>
        <v>Jul</v>
      </c>
      <c r="G62" s="4">
        <f>IF(B62="Income",E62,0)</f>
        <v>0</v>
      </c>
      <c r="H62" s="4">
        <f>IF(B62="Expense",E62,0)</f>
        <v>795</v>
      </c>
    </row>
    <row r="63" spans="1:8" x14ac:dyDescent="0.2">
      <c r="A63" s="3">
        <v>46220</v>
      </c>
      <c r="B63" s="2" t="s">
        <v>7</v>
      </c>
      <c r="C63" s="2" t="s">
        <v>22</v>
      </c>
      <c r="D63" s="2" t="s">
        <v>78</v>
      </c>
      <c r="E63" s="4">
        <v>740</v>
      </c>
      <c r="F63" s="2" t="str">
        <f>TEXT(A63,"mmm")</f>
        <v>Jul</v>
      </c>
      <c r="G63" s="4">
        <f>IF(B63="Income",E63,0)</f>
        <v>0</v>
      </c>
      <c r="H63" s="4">
        <f>IF(B63="Expense",E63,0)</f>
        <v>740</v>
      </c>
    </row>
    <row r="64" spans="1:8" x14ac:dyDescent="0.2">
      <c r="A64" s="3">
        <v>46223</v>
      </c>
      <c r="B64" s="2" t="s">
        <v>7</v>
      </c>
      <c r="C64" s="2" t="s">
        <v>24</v>
      </c>
      <c r="D64" s="2" t="s">
        <v>79</v>
      </c>
      <c r="E64" s="4">
        <v>2425</v>
      </c>
      <c r="F64" s="2" t="str">
        <f>TEXT(A64,"mmm")</f>
        <v>Jul</v>
      </c>
      <c r="G64" s="4">
        <f>IF(B64="Income",E64,0)</f>
        <v>0</v>
      </c>
      <c r="H64" s="4">
        <f>IF(B64="Expense",E64,0)</f>
        <v>2425</v>
      </c>
    </row>
    <row r="65" spans="1:8" x14ac:dyDescent="0.2">
      <c r="A65" s="3">
        <v>46237</v>
      </c>
      <c r="B65" s="2" t="s">
        <v>6</v>
      </c>
      <c r="C65" s="2" t="s">
        <v>8</v>
      </c>
      <c r="D65" s="2" t="s">
        <v>80</v>
      </c>
      <c r="E65" s="4">
        <v>5632</v>
      </c>
      <c r="F65" s="2" t="str">
        <f>TEXT(A65,"mmm")</f>
        <v>Aug</v>
      </c>
      <c r="G65" s="4">
        <f>IF(B65="Income",E65,0)</f>
        <v>5632</v>
      </c>
      <c r="H65" s="4">
        <f>IF(B65="Expense",E65,0)</f>
        <v>0</v>
      </c>
    </row>
    <row r="66" spans="1:8" x14ac:dyDescent="0.2">
      <c r="A66" s="3">
        <v>46244</v>
      </c>
      <c r="B66" s="2" t="s">
        <v>6</v>
      </c>
      <c r="C66" s="2" t="s">
        <v>10</v>
      </c>
      <c r="D66" s="2" t="s">
        <v>81</v>
      </c>
      <c r="E66" s="4">
        <v>2986</v>
      </c>
      <c r="F66" s="2" t="str">
        <f>TEXT(A66,"mmm")</f>
        <v>Aug</v>
      </c>
      <c r="G66" s="4">
        <f>IF(B66="Income",E66,0)</f>
        <v>2986</v>
      </c>
      <c r="H66" s="4">
        <f>IF(B66="Expense",E66,0)</f>
        <v>0</v>
      </c>
    </row>
    <row r="67" spans="1:8" x14ac:dyDescent="0.2">
      <c r="A67" s="3">
        <v>46251</v>
      </c>
      <c r="B67" s="2" t="s">
        <v>6</v>
      </c>
      <c r="C67" s="2" t="s">
        <v>12</v>
      </c>
      <c r="D67" s="2" t="s">
        <v>82</v>
      </c>
      <c r="E67" s="4">
        <v>5715</v>
      </c>
      <c r="F67" s="2" t="str">
        <f>TEXT(A67,"mmm")</f>
        <v>Aug</v>
      </c>
      <c r="G67" s="4">
        <f>IF(B67="Income",E67,0)</f>
        <v>5715</v>
      </c>
      <c r="H67" s="4">
        <f>IF(B67="Expense",E67,0)</f>
        <v>0</v>
      </c>
    </row>
    <row r="68" spans="1:8" x14ac:dyDescent="0.2">
      <c r="A68" s="3">
        <v>46239</v>
      </c>
      <c r="B68" s="2" t="s">
        <v>7</v>
      </c>
      <c r="C68" s="2" t="s">
        <v>14</v>
      </c>
      <c r="D68" s="2" t="s">
        <v>83</v>
      </c>
      <c r="E68" s="4">
        <v>1374</v>
      </c>
      <c r="F68" s="2" t="str">
        <f>TEXT(A68,"mmm")</f>
        <v>Aug</v>
      </c>
      <c r="G68" s="4">
        <f>IF(B68="Income",E68,0)</f>
        <v>0</v>
      </c>
      <c r="H68" s="4">
        <f>IF(B68="Expense",E68,0)</f>
        <v>1374</v>
      </c>
    </row>
    <row r="69" spans="1:8" x14ac:dyDescent="0.2">
      <c r="A69" s="3">
        <v>46242</v>
      </c>
      <c r="B69" s="2" t="s">
        <v>7</v>
      </c>
      <c r="C69" s="2" t="s">
        <v>16</v>
      </c>
      <c r="D69" s="2" t="s">
        <v>84</v>
      </c>
      <c r="E69" s="4">
        <v>740</v>
      </c>
      <c r="F69" s="2" t="str">
        <f>TEXT(A69,"mmm")</f>
        <v>Aug</v>
      </c>
      <c r="G69" s="4">
        <f>IF(B69="Income",E69,0)</f>
        <v>0</v>
      </c>
      <c r="H69" s="4">
        <f>IF(B69="Expense",E69,0)</f>
        <v>740</v>
      </c>
    </row>
    <row r="70" spans="1:8" x14ac:dyDescent="0.2">
      <c r="A70" s="3">
        <v>46245</v>
      </c>
      <c r="B70" s="2" t="s">
        <v>7</v>
      </c>
      <c r="C70" s="2" t="s">
        <v>18</v>
      </c>
      <c r="D70" s="2" t="s">
        <v>85</v>
      </c>
      <c r="E70" s="4">
        <v>780</v>
      </c>
      <c r="F70" s="2" t="str">
        <f>TEXT(A70,"mmm")</f>
        <v>Aug</v>
      </c>
      <c r="G70" s="4">
        <f>IF(B70="Income",E70,0)</f>
        <v>0</v>
      </c>
      <c r="H70" s="4">
        <f>IF(B70="Expense",E70,0)</f>
        <v>780</v>
      </c>
    </row>
    <row r="71" spans="1:8" x14ac:dyDescent="0.2">
      <c r="A71" s="3">
        <v>46248</v>
      </c>
      <c r="B71" s="2" t="s">
        <v>7</v>
      </c>
      <c r="C71" s="2" t="s">
        <v>20</v>
      </c>
      <c r="D71" s="2" t="s">
        <v>86</v>
      </c>
      <c r="E71" s="4">
        <v>835</v>
      </c>
      <c r="F71" s="2" t="str">
        <f>TEXT(A71,"mmm")</f>
        <v>Aug</v>
      </c>
      <c r="G71" s="4">
        <f>IF(B71="Income",E71,0)</f>
        <v>0</v>
      </c>
      <c r="H71" s="4">
        <f>IF(B71="Expense",E71,0)</f>
        <v>835</v>
      </c>
    </row>
    <row r="72" spans="1:8" x14ac:dyDescent="0.2">
      <c r="A72" s="3">
        <v>46251</v>
      </c>
      <c r="B72" s="2" t="s">
        <v>7</v>
      </c>
      <c r="C72" s="2" t="s">
        <v>22</v>
      </c>
      <c r="D72" s="2" t="s">
        <v>87</v>
      </c>
      <c r="E72" s="4">
        <v>556</v>
      </c>
      <c r="F72" s="2" t="str">
        <f>TEXT(A72,"mmm")</f>
        <v>Aug</v>
      </c>
      <c r="G72" s="4">
        <f>IF(B72="Income",E72,0)</f>
        <v>0</v>
      </c>
      <c r="H72" s="4">
        <f>IF(B72="Expense",E72,0)</f>
        <v>556</v>
      </c>
    </row>
    <row r="73" spans="1:8" x14ac:dyDescent="0.2">
      <c r="A73" s="3">
        <v>46254</v>
      </c>
      <c r="B73" s="2" t="s">
        <v>7</v>
      </c>
      <c r="C73" s="2" t="s">
        <v>24</v>
      </c>
      <c r="D73" s="2" t="s">
        <v>88</v>
      </c>
      <c r="E73" s="4">
        <v>2427</v>
      </c>
      <c r="F73" s="2" t="str">
        <f>TEXT(A73,"mmm")</f>
        <v>Aug</v>
      </c>
      <c r="G73" s="4">
        <f>IF(B73="Income",E73,0)</f>
        <v>0</v>
      </c>
      <c r="H73" s="4">
        <f>IF(B73="Expense",E73,0)</f>
        <v>2427</v>
      </c>
    </row>
    <row r="74" spans="1:8" x14ac:dyDescent="0.2">
      <c r="A74" s="3">
        <v>46268</v>
      </c>
      <c r="B74" s="2" t="s">
        <v>6</v>
      </c>
      <c r="C74" s="2" t="s">
        <v>8</v>
      </c>
      <c r="D74" s="2" t="s">
        <v>89</v>
      </c>
      <c r="E74" s="4">
        <v>5472</v>
      </c>
      <c r="F74" s="2" t="str">
        <f>TEXT(A74,"mmm")</f>
        <v>Sep</v>
      </c>
      <c r="G74" s="4">
        <f>IF(B74="Income",E74,0)</f>
        <v>5472</v>
      </c>
      <c r="H74" s="4">
        <f>IF(B74="Expense",E74,0)</f>
        <v>0</v>
      </c>
    </row>
    <row r="75" spans="1:8" x14ac:dyDescent="0.2">
      <c r="A75" s="3">
        <v>46275</v>
      </c>
      <c r="B75" s="2" t="s">
        <v>6</v>
      </c>
      <c r="C75" s="2" t="s">
        <v>10</v>
      </c>
      <c r="D75" s="2" t="s">
        <v>90</v>
      </c>
      <c r="E75" s="4">
        <v>3551</v>
      </c>
      <c r="F75" s="2" t="str">
        <f>TEXT(A75,"mmm")</f>
        <v>Sep</v>
      </c>
      <c r="G75" s="4">
        <f>IF(B75="Income",E75,0)</f>
        <v>3551</v>
      </c>
      <c r="H75" s="4">
        <f>IF(B75="Expense",E75,0)</f>
        <v>0</v>
      </c>
    </row>
    <row r="76" spans="1:8" x14ac:dyDescent="0.2">
      <c r="A76" s="3">
        <v>46282</v>
      </c>
      <c r="B76" s="2" t="s">
        <v>6</v>
      </c>
      <c r="C76" s="2" t="s">
        <v>12</v>
      </c>
      <c r="D76" s="2" t="s">
        <v>91</v>
      </c>
      <c r="E76" s="4">
        <v>3241</v>
      </c>
      <c r="F76" s="2" t="str">
        <f>TEXT(A76,"mmm")</f>
        <v>Sep</v>
      </c>
      <c r="G76" s="4">
        <f>IF(B76="Income",E76,0)</f>
        <v>3241</v>
      </c>
      <c r="H76" s="4">
        <f>IF(B76="Expense",E76,0)</f>
        <v>0</v>
      </c>
    </row>
    <row r="77" spans="1:8" x14ac:dyDescent="0.2">
      <c r="A77" s="3">
        <v>46270</v>
      </c>
      <c r="B77" s="2" t="s">
        <v>7</v>
      </c>
      <c r="C77" s="2" t="s">
        <v>14</v>
      </c>
      <c r="D77" s="2" t="s">
        <v>92</v>
      </c>
      <c r="E77" s="4">
        <v>1007</v>
      </c>
      <c r="F77" s="2" t="str">
        <f>TEXT(A77,"mmm")</f>
        <v>Sep</v>
      </c>
      <c r="G77" s="4">
        <f>IF(B77="Income",E77,0)</f>
        <v>0</v>
      </c>
      <c r="H77" s="4">
        <f>IF(B77="Expense",E77,0)</f>
        <v>1007</v>
      </c>
    </row>
    <row r="78" spans="1:8" x14ac:dyDescent="0.2">
      <c r="A78" s="3">
        <v>46273</v>
      </c>
      <c r="B78" s="2" t="s">
        <v>7</v>
      </c>
      <c r="C78" s="2" t="s">
        <v>16</v>
      </c>
      <c r="D78" s="2" t="s">
        <v>93</v>
      </c>
      <c r="E78" s="4">
        <v>805</v>
      </c>
      <c r="F78" s="2" t="str">
        <f>TEXT(A78,"mmm")</f>
        <v>Sep</v>
      </c>
      <c r="G78" s="4">
        <f>IF(B78="Income",E78,0)</f>
        <v>0</v>
      </c>
      <c r="H78" s="4">
        <f>IF(B78="Expense",E78,0)</f>
        <v>805</v>
      </c>
    </row>
    <row r="79" spans="1:8" x14ac:dyDescent="0.2">
      <c r="A79" s="3">
        <v>46276</v>
      </c>
      <c r="B79" s="2" t="s">
        <v>7</v>
      </c>
      <c r="C79" s="2" t="s">
        <v>18</v>
      </c>
      <c r="D79" s="2" t="s">
        <v>94</v>
      </c>
      <c r="E79" s="4">
        <v>613</v>
      </c>
      <c r="F79" s="2" t="str">
        <f>TEXT(A79,"mmm")</f>
        <v>Sep</v>
      </c>
      <c r="G79" s="4">
        <f>IF(B79="Income",E79,0)</f>
        <v>0</v>
      </c>
      <c r="H79" s="4">
        <f>IF(B79="Expense",E79,0)</f>
        <v>613</v>
      </c>
    </row>
    <row r="80" spans="1:8" x14ac:dyDescent="0.2">
      <c r="A80" s="3">
        <v>46279</v>
      </c>
      <c r="B80" s="2" t="s">
        <v>7</v>
      </c>
      <c r="C80" s="2" t="s">
        <v>20</v>
      </c>
      <c r="D80" s="2" t="s">
        <v>95</v>
      </c>
      <c r="E80" s="4">
        <v>1111</v>
      </c>
      <c r="F80" s="2" t="str">
        <f>TEXT(A80,"mmm")</f>
        <v>Sep</v>
      </c>
      <c r="G80" s="4">
        <f>IF(B80="Income",E80,0)</f>
        <v>0</v>
      </c>
      <c r="H80" s="4">
        <f>IF(B80="Expense",E80,0)</f>
        <v>1111</v>
      </c>
    </row>
    <row r="81" spans="1:8" x14ac:dyDescent="0.2">
      <c r="A81" s="3">
        <v>46282</v>
      </c>
      <c r="B81" s="2" t="s">
        <v>7</v>
      </c>
      <c r="C81" s="2" t="s">
        <v>22</v>
      </c>
      <c r="D81" s="2" t="s">
        <v>96</v>
      </c>
      <c r="E81" s="4">
        <v>518</v>
      </c>
      <c r="F81" s="2" t="str">
        <f>TEXT(A81,"mmm")</f>
        <v>Sep</v>
      </c>
      <c r="G81" s="4">
        <f>IF(B81="Income",E81,0)</f>
        <v>0</v>
      </c>
      <c r="H81" s="4">
        <f>IF(B81="Expense",E81,0)</f>
        <v>518</v>
      </c>
    </row>
    <row r="82" spans="1:8" x14ac:dyDescent="0.2">
      <c r="A82" s="3">
        <v>46285</v>
      </c>
      <c r="B82" s="2" t="s">
        <v>7</v>
      </c>
      <c r="C82" s="2" t="s">
        <v>24</v>
      </c>
      <c r="D82" s="2" t="s">
        <v>97</v>
      </c>
      <c r="E82" s="4">
        <v>2494</v>
      </c>
      <c r="F82" s="2" t="str">
        <f>TEXT(A82,"mmm")</f>
        <v>Sep</v>
      </c>
      <c r="G82" s="4">
        <f>IF(B82="Income",E82,0)</f>
        <v>0</v>
      </c>
      <c r="H82" s="4">
        <f>IF(B82="Expense",E82,0)</f>
        <v>2494</v>
      </c>
    </row>
    <row r="83" spans="1:8" x14ac:dyDescent="0.2">
      <c r="A83" s="3">
        <v>46298</v>
      </c>
      <c r="B83" s="2" t="s">
        <v>6</v>
      </c>
      <c r="C83" s="2" t="s">
        <v>8</v>
      </c>
      <c r="D83" s="2" t="s">
        <v>98</v>
      </c>
      <c r="E83" s="4">
        <v>3086</v>
      </c>
      <c r="F83" s="2" t="str">
        <f>TEXT(A83,"mmm")</f>
        <v>Oct</v>
      </c>
      <c r="G83" s="4">
        <f>IF(B83="Income",E83,0)</f>
        <v>3086</v>
      </c>
      <c r="H83" s="4">
        <f>IF(B83="Expense",E83,0)</f>
        <v>0</v>
      </c>
    </row>
    <row r="84" spans="1:8" x14ac:dyDescent="0.2">
      <c r="A84" s="3">
        <v>46305</v>
      </c>
      <c r="B84" s="2" t="s">
        <v>6</v>
      </c>
      <c r="C84" s="2" t="s">
        <v>10</v>
      </c>
      <c r="D84" s="2" t="s">
        <v>99</v>
      </c>
      <c r="E84" s="4">
        <v>3828</v>
      </c>
      <c r="F84" s="2" t="str">
        <f>TEXT(A84,"mmm")</f>
        <v>Oct</v>
      </c>
      <c r="G84" s="4">
        <f>IF(B84="Income",E84,0)</f>
        <v>3828</v>
      </c>
      <c r="H84" s="4">
        <f>IF(B84="Expense",E84,0)</f>
        <v>0</v>
      </c>
    </row>
    <row r="85" spans="1:8" x14ac:dyDescent="0.2">
      <c r="A85" s="3">
        <v>46312</v>
      </c>
      <c r="B85" s="2" t="s">
        <v>6</v>
      </c>
      <c r="C85" s="2" t="s">
        <v>12</v>
      </c>
      <c r="D85" s="2" t="s">
        <v>100</v>
      </c>
      <c r="E85" s="4">
        <v>4464</v>
      </c>
      <c r="F85" s="2" t="str">
        <f>TEXT(A85,"mmm")</f>
        <v>Oct</v>
      </c>
      <c r="G85" s="4">
        <f>IF(B85="Income",E85,0)</f>
        <v>4464</v>
      </c>
      <c r="H85" s="4">
        <f>IF(B85="Expense",E85,0)</f>
        <v>0</v>
      </c>
    </row>
    <row r="86" spans="1:8" x14ac:dyDescent="0.2">
      <c r="A86" s="3">
        <v>46300</v>
      </c>
      <c r="B86" s="2" t="s">
        <v>7</v>
      </c>
      <c r="C86" s="2" t="s">
        <v>14</v>
      </c>
      <c r="D86" s="2" t="s">
        <v>101</v>
      </c>
      <c r="E86" s="4">
        <v>1081</v>
      </c>
      <c r="F86" s="2" t="str">
        <f>TEXT(A86,"mmm")</f>
        <v>Oct</v>
      </c>
      <c r="G86" s="4">
        <f>IF(B86="Income",E86,0)</f>
        <v>0</v>
      </c>
      <c r="H86" s="4">
        <f>IF(B86="Expense",E86,0)</f>
        <v>1081</v>
      </c>
    </row>
    <row r="87" spans="1:8" x14ac:dyDescent="0.2">
      <c r="A87" s="3">
        <v>46303</v>
      </c>
      <c r="B87" s="2" t="s">
        <v>7</v>
      </c>
      <c r="C87" s="2" t="s">
        <v>16</v>
      </c>
      <c r="D87" s="2" t="s">
        <v>102</v>
      </c>
      <c r="E87" s="4">
        <v>873</v>
      </c>
      <c r="F87" s="2" t="str">
        <f>TEXT(A87,"mmm")</f>
        <v>Oct</v>
      </c>
      <c r="G87" s="4">
        <f>IF(B87="Income",E87,0)</f>
        <v>0</v>
      </c>
      <c r="H87" s="4">
        <f>IF(B87="Expense",E87,0)</f>
        <v>873</v>
      </c>
    </row>
    <row r="88" spans="1:8" x14ac:dyDescent="0.2">
      <c r="A88" s="3">
        <v>46306</v>
      </c>
      <c r="B88" s="2" t="s">
        <v>7</v>
      </c>
      <c r="C88" s="2" t="s">
        <v>18</v>
      </c>
      <c r="D88" s="2" t="s">
        <v>103</v>
      </c>
      <c r="E88" s="4">
        <v>689</v>
      </c>
      <c r="F88" s="2" t="str">
        <f>TEXT(A88,"mmm")</f>
        <v>Oct</v>
      </c>
      <c r="G88" s="4">
        <f>IF(B88="Income",E88,0)</f>
        <v>0</v>
      </c>
      <c r="H88" s="4">
        <f>IF(B88="Expense",E88,0)</f>
        <v>689</v>
      </c>
    </row>
    <row r="89" spans="1:8" x14ac:dyDescent="0.2">
      <c r="A89" s="3">
        <v>46309</v>
      </c>
      <c r="B89" s="2" t="s">
        <v>7</v>
      </c>
      <c r="C89" s="2" t="s">
        <v>20</v>
      </c>
      <c r="D89" s="2" t="s">
        <v>104</v>
      </c>
      <c r="E89" s="4">
        <v>1131</v>
      </c>
      <c r="F89" s="2" t="str">
        <f>TEXT(A89,"mmm")</f>
        <v>Oct</v>
      </c>
      <c r="G89" s="4">
        <f>IF(B89="Income",E89,0)</f>
        <v>0</v>
      </c>
      <c r="H89" s="4">
        <f>IF(B89="Expense",E89,0)</f>
        <v>1131</v>
      </c>
    </row>
    <row r="90" spans="1:8" x14ac:dyDescent="0.2">
      <c r="A90" s="3">
        <v>46312</v>
      </c>
      <c r="B90" s="2" t="s">
        <v>7</v>
      </c>
      <c r="C90" s="2" t="s">
        <v>22</v>
      </c>
      <c r="D90" s="2" t="s">
        <v>105</v>
      </c>
      <c r="E90" s="4">
        <v>527</v>
      </c>
      <c r="F90" s="2" t="str">
        <f>TEXT(A90,"mmm")</f>
        <v>Oct</v>
      </c>
      <c r="G90" s="4">
        <f>IF(B90="Income",E90,0)</f>
        <v>0</v>
      </c>
      <c r="H90" s="4">
        <f>IF(B90="Expense",E90,0)</f>
        <v>527</v>
      </c>
    </row>
    <row r="91" spans="1:8" x14ac:dyDescent="0.2">
      <c r="A91" s="3">
        <v>46315</v>
      </c>
      <c r="B91" s="2" t="s">
        <v>7</v>
      </c>
      <c r="C91" s="2" t="s">
        <v>24</v>
      </c>
      <c r="D91" s="2" t="s">
        <v>106</v>
      </c>
      <c r="E91" s="4">
        <v>2423</v>
      </c>
      <c r="F91" s="2" t="str">
        <f>TEXT(A91,"mmm")</f>
        <v>Oct</v>
      </c>
      <c r="G91" s="4">
        <f>IF(B91="Income",E91,0)</f>
        <v>0</v>
      </c>
      <c r="H91" s="4">
        <f>IF(B91="Expense",E91,0)</f>
        <v>2423</v>
      </c>
    </row>
    <row r="92" spans="1:8" x14ac:dyDescent="0.2">
      <c r="A92" s="3">
        <v>46329</v>
      </c>
      <c r="B92" s="2" t="s">
        <v>6</v>
      </c>
      <c r="C92" s="2" t="s">
        <v>8</v>
      </c>
      <c r="D92" s="2" t="s">
        <v>107</v>
      </c>
      <c r="E92" s="4">
        <v>4640</v>
      </c>
      <c r="F92" s="2" t="str">
        <f>TEXT(A92,"mmm")</f>
        <v>Nov</v>
      </c>
      <c r="G92" s="4">
        <f>IF(B92="Income",E92,0)</f>
        <v>4640</v>
      </c>
      <c r="H92" s="4">
        <f>IF(B92="Expense",E92,0)</f>
        <v>0</v>
      </c>
    </row>
    <row r="93" spans="1:8" x14ac:dyDescent="0.2">
      <c r="A93" s="3">
        <v>46336</v>
      </c>
      <c r="B93" s="2" t="s">
        <v>6</v>
      </c>
      <c r="C93" s="2" t="s">
        <v>10</v>
      </c>
      <c r="D93" s="2" t="s">
        <v>108</v>
      </c>
      <c r="E93" s="4">
        <v>3632</v>
      </c>
      <c r="F93" s="2" t="str">
        <f>TEXT(A93,"mmm")</f>
        <v>Nov</v>
      </c>
      <c r="G93" s="4">
        <f>IF(B93="Income",E93,0)</f>
        <v>3632</v>
      </c>
      <c r="H93" s="4">
        <f>IF(B93="Expense",E93,0)</f>
        <v>0</v>
      </c>
    </row>
    <row r="94" spans="1:8" x14ac:dyDescent="0.2">
      <c r="A94" s="3">
        <v>46343</v>
      </c>
      <c r="B94" s="2" t="s">
        <v>6</v>
      </c>
      <c r="C94" s="2" t="s">
        <v>12</v>
      </c>
      <c r="D94" s="2" t="s">
        <v>109</v>
      </c>
      <c r="E94" s="4">
        <v>4654</v>
      </c>
      <c r="F94" s="2" t="str">
        <f>TEXT(A94,"mmm")</f>
        <v>Nov</v>
      </c>
      <c r="G94" s="4">
        <f>IF(B94="Income",E94,0)</f>
        <v>4654</v>
      </c>
      <c r="H94" s="4">
        <f>IF(B94="Expense",E94,0)</f>
        <v>0</v>
      </c>
    </row>
    <row r="95" spans="1:8" x14ac:dyDescent="0.2">
      <c r="A95" s="3">
        <v>46331</v>
      </c>
      <c r="B95" s="2" t="s">
        <v>7</v>
      </c>
      <c r="C95" s="2" t="s">
        <v>14</v>
      </c>
      <c r="D95" s="2" t="s">
        <v>110</v>
      </c>
      <c r="E95" s="4">
        <v>1391</v>
      </c>
      <c r="F95" s="2" t="str">
        <f>TEXT(A95,"mmm")</f>
        <v>Nov</v>
      </c>
      <c r="G95" s="4">
        <f>IF(B95="Income",E95,0)</f>
        <v>0</v>
      </c>
      <c r="H95" s="4">
        <f>IF(B95="Expense",E95,0)</f>
        <v>1391</v>
      </c>
    </row>
    <row r="96" spans="1:8" x14ac:dyDescent="0.2">
      <c r="A96" s="3">
        <v>46334</v>
      </c>
      <c r="B96" s="2" t="s">
        <v>7</v>
      </c>
      <c r="C96" s="2" t="s">
        <v>16</v>
      </c>
      <c r="D96" s="2" t="s">
        <v>111</v>
      </c>
      <c r="E96" s="4">
        <v>665</v>
      </c>
      <c r="F96" s="2" t="str">
        <f>TEXT(A96,"mmm")</f>
        <v>Nov</v>
      </c>
      <c r="G96" s="4">
        <f>IF(B96="Income",E96,0)</f>
        <v>0</v>
      </c>
      <c r="H96" s="4">
        <f>IF(B96="Expense",E96,0)</f>
        <v>665</v>
      </c>
    </row>
    <row r="97" spans="1:8" x14ac:dyDescent="0.2">
      <c r="A97" s="3">
        <v>46337</v>
      </c>
      <c r="B97" s="2" t="s">
        <v>7</v>
      </c>
      <c r="C97" s="2" t="s">
        <v>18</v>
      </c>
      <c r="D97" s="2" t="s">
        <v>112</v>
      </c>
      <c r="E97" s="4">
        <v>672</v>
      </c>
      <c r="F97" s="2" t="str">
        <f>TEXT(A97,"mmm")</f>
        <v>Nov</v>
      </c>
      <c r="G97" s="4">
        <f>IF(B97="Income",E97,0)</f>
        <v>0</v>
      </c>
      <c r="H97" s="4">
        <f>IF(B97="Expense",E97,0)</f>
        <v>672</v>
      </c>
    </row>
    <row r="98" spans="1:8" x14ac:dyDescent="0.2">
      <c r="A98" s="3">
        <v>46340</v>
      </c>
      <c r="B98" s="2" t="s">
        <v>7</v>
      </c>
      <c r="C98" s="2" t="s">
        <v>20</v>
      </c>
      <c r="D98" s="2" t="s">
        <v>113</v>
      </c>
      <c r="E98" s="4">
        <v>1157</v>
      </c>
      <c r="F98" s="2" t="str">
        <f>TEXT(A98,"mmm")</f>
        <v>Nov</v>
      </c>
      <c r="G98" s="4">
        <f>IF(B98="Income",E98,0)</f>
        <v>0</v>
      </c>
      <c r="H98" s="4">
        <f>IF(B98="Expense",E98,0)</f>
        <v>1157</v>
      </c>
    </row>
    <row r="99" spans="1:8" x14ac:dyDescent="0.2">
      <c r="A99" s="3">
        <v>46343</v>
      </c>
      <c r="B99" s="2" t="s">
        <v>7</v>
      </c>
      <c r="C99" s="2" t="s">
        <v>22</v>
      </c>
      <c r="D99" s="2" t="s">
        <v>114</v>
      </c>
      <c r="E99" s="4">
        <v>604</v>
      </c>
      <c r="F99" s="2" t="str">
        <f>TEXT(A99,"mmm")</f>
        <v>Nov</v>
      </c>
      <c r="G99" s="4">
        <f>IF(B99="Income",E99,0)</f>
        <v>0</v>
      </c>
      <c r="H99" s="4">
        <f>IF(B99="Expense",E99,0)</f>
        <v>604</v>
      </c>
    </row>
    <row r="100" spans="1:8" x14ac:dyDescent="0.2">
      <c r="A100" s="3">
        <v>46346</v>
      </c>
      <c r="B100" s="2" t="s">
        <v>7</v>
      </c>
      <c r="C100" s="2" t="s">
        <v>24</v>
      </c>
      <c r="D100" s="2" t="s">
        <v>115</v>
      </c>
      <c r="E100" s="4">
        <v>2243</v>
      </c>
      <c r="F100" s="2" t="str">
        <f>TEXT(A100,"mmm")</f>
        <v>Nov</v>
      </c>
      <c r="G100" s="4">
        <f>IF(B100="Income",E100,0)</f>
        <v>0</v>
      </c>
      <c r="H100" s="4">
        <f>IF(B100="Expense",E100,0)</f>
        <v>2243</v>
      </c>
    </row>
    <row r="101" spans="1:8" x14ac:dyDescent="0.2">
      <c r="A101" s="3">
        <v>46359</v>
      </c>
      <c r="B101" s="2" t="s">
        <v>6</v>
      </c>
      <c r="C101" s="2" t="s">
        <v>8</v>
      </c>
      <c r="D101" s="2" t="s">
        <v>116</v>
      </c>
      <c r="E101" s="4">
        <v>5224</v>
      </c>
      <c r="F101" s="2" t="str">
        <f>TEXT(A101,"mmm")</f>
        <v>Dec</v>
      </c>
      <c r="G101" s="4">
        <f>IF(B101="Income",E101,0)</f>
        <v>5224</v>
      </c>
      <c r="H101" s="4">
        <f>IF(B101="Expense",E101,0)</f>
        <v>0</v>
      </c>
    </row>
    <row r="102" spans="1:8" x14ac:dyDescent="0.2">
      <c r="A102" s="3">
        <v>46366</v>
      </c>
      <c r="B102" s="2" t="s">
        <v>6</v>
      </c>
      <c r="C102" s="2" t="s">
        <v>10</v>
      </c>
      <c r="D102" s="2" t="s">
        <v>117</v>
      </c>
      <c r="E102" s="4">
        <v>3199</v>
      </c>
      <c r="F102" s="2" t="str">
        <f>TEXT(A102,"mmm")</f>
        <v>Dec</v>
      </c>
      <c r="G102" s="4">
        <f>IF(B102="Income",E102,0)</f>
        <v>3199</v>
      </c>
      <c r="H102" s="4">
        <f>IF(B102="Expense",E102,0)</f>
        <v>0</v>
      </c>
    </row>
    <row r="103" spans="1:8" x14ac:dyDescent="0.2">
      <c r="A103" s="3">
        <v>46373</v>
      </c>
      <c r="B103" s="2" t="s">
        <v>6</v>
      </c>
      <c r="C103" s="2" t="s">
        <v>12</v>
      </c>
      <c r="D103" s="2" t="s">
        <v>118</v>
      </c>
      <c r="E103" s="4">
        <v>3708</v>
      </c>
      <c r="F103" s="2" t="str">
        <f>TEXT(A103,"mmm")</f>
        <v>Dec</v>
      </c>
      <c r="G103" s="4">
        <f>IF(B103="Income",E103,0)</f>
        <v>3708</v>
      </c>
      <c r="H103" s="4">
        <f>IF(B103="Expense",E103,0)</f>
        <v>0</v>
      </c>
    </row>
    <row r="104" spans="1:8" x14ac:dyDescent="0.2">
      <c r="A104" s="3">
        <v>46361</v>
      </c>
      <c r="B104" s="2" t="s">
        <v>7</v>
      </c>
      <c r="C104" s="2" t="s">
        <v>14</v>
      </c>
      <c r="D104" s="2" t="s">
        <v>119</v>
      </c>
      <c r="E104" s="4">
        <v>1180</v>
      </c>
      <c r="F104" s="2" t="str">
        <f>TEXT(A104,"mmm")</f>
        <v>Dec</v>
      </c>
      <c r="G104" s="4">
        <f>IF(B104="Income",E104,0)</f>
        <v>0</v>
      </c>
      <c r="H104" s="4">
        <f>IF(B104="Expense",E104,0)</f>
        <v>1180</v>
      </c>
    </row>
    <row r="105" spans="1:8" x14ac:dyDescent="0.2">
      <c r="A105" s="3">
        <v>46364</v>
      </c>
      <c r="B105" s="2" t="s">
        <v>7</v>
      </c>
      <c r="C105" s="2" t="s">
        <v>16</v>
      </c>
      <c r="D105" s="2" t="s">
        <v>120</v>
      </c>
      <c r="E105" s="4">
        <v>899</v>
      </c>
      <c r="F105" s="2" t="str">
        <f>TEXT(A105,"mmm")</f>
        <v>Dec</v>
      </c>
      <c r="G105" s="4">
        <f>IF(B105="Income",E105,0)</f>
        <v>0</v>
      </c>
      <c r="H105" s="4">
        <f>IF(B105="Expense",E105,0)</f>
        <v>899</v>
      </c>
    </row>
    <row r="106" spans="1:8" x14ac:dyDescent="0.2">
      <c r="A106" s="3">
        <v>46367</v>
      </c>
      <c r="B106" s="2" t="s">
        <v>7</v>
      </c>
      <c r="C106" s="2" t="s">
        <v>18</v>
      </c>
      <c r="D106" s="2" t="s">
        <v>121</v>
      </c>
      <c r="E106" s="4">
        <v>697</v>
      </c>
      <c r="F106" s="2" t="str">
        <f>TEXT(A106,"mmm")</f>
        <v>Dec</v>
      </c>
      <c r="G106" s="4">
        <f>IF(B106="Income",E106,0)</f>
        <v>0</v>
      </c>
      <c r="H106" s="4">
        <f>IF(B106="Expense",E106,0)</f>
        <v>697</v>
      </c>
    </row>
    <row r="107" spans="1:8" x14ac:dyDescent="0.2">
      <c r="A107" s="3">
        <v>46370</v>
      </c>
      <c r="B107" s="2" t="s">
        <v>7</v>
      </c>
      <c r="C107" s="2" t="s">
        <v>20</v>
      </c>
      <c r="D107" s="2" t="s">
        <v>122</v>
      </c>
      <c r="E107" s="4">
        <v>1102</v>
      </c>
      <c r="F107" s="2" t="str">
        <f>TEXT(A107,"mmm")</f>
        <v>Dec</v>
      </c>
      <c r="G107" s="4">
        <f>IF(B107="Income",E107,0)</f>
        <v>0</v>
      </c>
      <c r="H107" s="4">
        <f>IF(B107="Expense",E107,0)</f>
        <v>1102</v>
      </c>
    </row>
    <row r="108" spans="1:8" x14ac:dyDescent="0.2">
      <c r="A108" s="3">
        <v>46373</v>
      </c>
      <c r="B108" s="2" t="s">
        <v>7</v>
      </c>
      <c r="C108" s="2" t="s">
        <v>22</v>
      </c>
      <c r="D108" s="2" t="s">
        <v>123</v>
      </c>
      <c r="E108" s="4">
        <v>617</v>
      </c>
      <c r="F108" s="2" t="str">
        <f>TEXT(A108,"mmm")</f>
        <v>Dec</v>
      </c>
      <c r="G108" s="4">
        <f>IF(B108="Income",E108,0)</f>
        <v>0</v>
      </c>
      <c r="H108" s="4">
        <f>IF(B108="Expense",E108,0)</f>
        <v>617</v>
      </c>
    </row>
    <row r="109" spans="1:8" x14ac:dyDescent="0.2">
      <c r="A109" s="3">
        <v>46376</v>
      </c>
      <c r="B109" s="2" t="s">
        <v>7</v>
      </c>
      <c r="C109" s="2" t="s">
        <v>24</v>
      </c>
      <c r="D109" s="2" t="s">
        <v>124</v>
      </c>
      <c r="E109" s="4">
        <v>2420</v>
      </c>
      <c r="F109" s="2" t="str">
        <f>TEXT(A109,"mmm")</f>
        <v>Dec</v>
      </c>
      <c r="G109" s="4">
        <f>IF(B109="Income",E109,0)</f>
        <v>0</v>
      </c>
      <c r="H109" s="4">
        <f>IF(B109="Expense",E109,0)</f>
        <v>2420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zoomScaleNormal="60" zoomScaleSheetLayoutView="100" workbookViewId="0"/>
  </sheetViews>
  <sheetFormatPr defaultRowHeight="15" x14ac:dyDescent="0.2"/>
  <cols>
    <col min="1" max="1" width="18.0234375" customWidth="1"/>
    <col min="2" max="14" width="11.97265625" customWidth="1"/>
  </cols>
  <sheetData>
    <row r="1" spans="1:14" x14ac:dyDescent="0.2">
      <c r="A1" s="1" t="s">
        <v>2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</row>
    <row r="2" spans="1:14" x14ac:dyDescent="0.2">
      <c r="A2" s="5" t="s">
        <v>14</v>
      </c>
      <c r="B2" s="6">
        <v>1100</v>
      </c>
      <c r="C2" s="6">
        <v>1150</v>
      </c>
      <c r="D2" s="6">
        <v>1200</v>
      </c>
      <c r="E2" s="6">
        <v>1100</v>
      </c>
      <c r="F2" s="6">
        <v>1150</v>
      </c>
      <c r="G2" s="6">
        <v>1200</v>
      </c>
      <c r="H2" s="6">
        <v>1100</v>
      </c>
      <c r="I2" s="6">
        <v>1150</v>
      </c>
      <c r="J2" s="6">
        <v>1200</v>
      </c>
      <c r="K2" s="6">
        <v>1100</v>
      </c>
      <c r="L2" s="6">
        <v>1150</v>
      </c>
      <c r="M2" s="6">
        <v>1200</v>
      </c>
      <c r="N2" s="6">
        <v>13800</v>
      </c>
    </row>
    <row r="3" spans="1:14" x14ac:dyDescent="0.2">
      <c r="A3" s="5" t="s">
        <v>16</v>
      </c>
      <c r="B3" s="6">
        <v>600</v>
      </c>
      <c r="C3" s="6">
        <v>650</v>
      </c>
      <c r="D3" s="6">
        <v>700</v>
      </c>
      <c r="E3" s="6">
        <v>600</v>
      </c>
      <c r="F3" s="6">
        <v>650</v>
      </c>
      <c r="G3" s="6">
        <v>700</v>
      </c>
      <c r="H3" s="6">
        <v>600</v>
      </c>
      <c r="I3" s="6">
        <v>650</v>
      </c>
      <c r="J3" s="6">
        <v>700</v>
      </c>
      <c r="K3" s="6">
        <v>600</v>
      </c>
      <c r="L3" s="6">
        <v>650</v>
      </c>
      <c r="M3" s="6">
        <v>700</v>
      </c>
      <c r="N3" s="6">
        <v>7800</v>
      </c>
    </row>
    <row r="4" spans="1:14" x14ac:dyDescent="0.2">
      <c r="A4" s="5" t="s">
        <v>18</v>
      </c>
      <c r="B4" s="6">
        <v>450</v>
      </c>
      <c r="C4" s="6">
        <v>500</v>
      </c>
      <c r="D4" s="6">
        <v>550</v>
      </c>
      <c r="E4" s="6">
        <v>450</v>
      </c>
      <c r="F4" s="6">
        <v>500</v>
      </c>
      <c r="G4" s="6">
        <v>550</v>
      </c>
      <c r="H4" s="6">
        <v>450</v>
      </c>
      <c r="I4" s="6">
        <v>500</v>
      </c>
      <c r="J4" s="6">
        <v>550</v>
      </c>
      <c r="K4" s="6">
        <v>450</v>
      </c>
      <c r="L4" s="6">
        <v>500</v>
      </c>
      <c r="M4" s="6">
        <v>550</v>
      </c>
      <c r="N4" s="6">
        <v>6000</v>
      </c>
    </row>
    <row r="5" spans="1:14" x14ac:dyDescent="0.2">
      <c r="A5" s="5" t="s">
        <v>20</v>
      </c>
      <c r="B5" s="6">
        <v>850</v>
      </c>
      <c r="C5" s="6">
        <v>900</v>
      </c>
      <c r="D5" s="6">
        <v>950</v>
      </c>
      <c r="E5" s="6">
        <v>850</v>
      </c>
      <c r="F5" s="6">
        <v>900</v>
      </c>
      <c r="G5" s="6">
        <v>950</v>
      </c>
      <c r="H5" s="6">
        <v>850</v>
      </c>
      <c r="I5" s="6">
        <v>900</v>
      </c>
      <c r="J5" s="6">
        <v>950</v>
      </c>
      <c r="K5" s="6">
        <v>850</v>
      </c>
      <c r="L5" s="6">
        <v>900</v>
      </c>
      <c r="M5" s="6">
        <v>950</v>
      </c>
      <c r="N5" s="6">
        <v>10800</v>
      </c>
    </row>
    <row r="6" spans="1:14" x14ac:dyDescent="0.2">
      <c r="A6" s="5" t="s">
        <v>22</v>
      </c>
      <c r="B6" s="6">
        <v>500</v>
      </c>
      <c r="C6" s="6">
        <v>550</v>
      </c>
      <c r="D6" s="6">
        <v>600</v>
      </c>
      <c r="E6" s="6">
        <v>500</v>
      </c>
      <c r="F6" s="6">
        <v>550</v>
      </c>
      <c r="G6" s="6">
        <v>600</v>
      </c>
      <c r="H6" s="6">
        <v>500</v>
      </c>
      <c r="I6" s="6">
        <v>550</v>
      </c>
      <c r="J6" s="6">
        <v>600</v>
      </c>
      <c r="K6" s="6">
        <v>500</v>
      </c>
      <c r="L6" s="6">
        <v>550</v>
      </c>
      <c r="M6" s="6">
        <v>600</v>
      </c>
      <c r="N6" s="6">
        <v>6600</v>
      </c>
    </row>
    <row r="7" spans="1:14" x14ac:dyDescent="0.2">
      <c r="A7" s="5" t="s">
        <v>24</v>
      </c>
      <c r="B7" s="6">
        <v>2600</v>
      </c>
      <c r="C7" s="6">
        <v>2650</v>
      </c>
      <c r="D7" s="6">
        <v>2700</v>
      </c>
      <c r="E7" s="6">
        <v>2600</v>
      </c>
      <c r="F7" s="6">
        <v>2650</v>
      </c>
      <c r="G7" s="6">
        <v>2700</v>
      </c>
      <c r="H7" s="6">
        <v>2600</v>
      </c>
      <c r="I7" s="6">
        <v>2650</v>
      </c>
      <c r="J7" s="6">
        <v>2700</v>
      </c>
      <c r="K7" s="6">
        <v>2600</v>
      </c>
      <c r="L7" s="6">
        <v>2650</v>
      </c>
      <c r="M7" s="6">
        <v>2700</v>
      </c>
      <c r="N7" s="6">
        <v>31800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5"/>
  <sheetViews>
    <sheetView zoomScaleNormal="60" zoomScaleSheetLayoutView="100" workbookViewId="0"/>
  </sheetViews>
  <sheetFormatPr defaultRowHeight="15" x14ac:dyDescent="0.2"/>
  <cols>
    <col min="1" max="16" width="9.953125" customWidth="1"/>
  </cols>
  <sheetData>
    <row r="1" spans="1:27" ht="24.95" customHeight="1" x14ac:dyDescent="0.2">
      <c r="A1" s="14" t="s">
        <v>138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R1" t="s">
        <v>5</v>
      </c>
      <c r="S1" t="s">
        <v>6</v>
      </c>
      <c r="T1" t="s">
        <v>7</v>
      </c>
      <c r="V1" t="s">
        <v>2</v>
      </c>
      <c r="W1" t="s">
        <v>7</v>
      </c>
      <c r="Y1" t="s">
        <v>2</v>
      </c>
      <c r="Z1" t="s">
        <v>139</v>
      </c>
      <c r="AA1" t="s">
        <v>140</v>
      </c>
    </row>
    <row r="2" spans="1:27" ht="24.95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R2" t="s">
        <v>125</v>
      </c>
      <c r="S2">
        <f>SUMIF(Transactions!F$2:F$109,R2,Transactions!G$2:G$109)</f>
        <v>12482</v>
      </c>
      <c r="T2">
        <f>SUMIF(Transactions!F$2:F$109,R2,Transactions!H$2:H$109)</f>
        <v>4997</v>
      </c>
      <c r="V2" t="s">
        <v>14</v>
      </c>
      <c r="W2">
        <f>SUMIF(Transactions!C$2:C$109,V2,Transactions!H$2:H$109)</f>
        <v>13647</v>
      </c>
      <c r="Y2" t="s">
        <v>14</v>
      </c>
      <c r="Z2">
        <f>SUMIF(Transactions!C$2:C$109,Y2,Transactions!H$2:H$109)</f>
        <v>13647</v>
      </c>
      <c r="AA2">
        <f>INDEX(Budget!N$2:N$7,MATCH(Y2,Budget!A$2:A$7,0))</f>
        <v>13800</v>
      </c>
    </row>
    <row r="3" spans="1:27" x14ac:dyDescent="0.2">
      <c r="A3" s="15" t="s">
        <v>141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R3" t="s">
        <v>126</v>
      </c>
      <c r="S3">
        <f>SUMIF(Transactions!F$2:F$109,R3,Transactions!G$2:G$109)</f>
        <v>11878</v>
      </c>
      <c r="T3">
        <f>SUMIF(Transactions!F$2:F$109,R3,Transactions!H$2:H$109)</f>
        <v>6052</v>
      </c>
      <c r="V3" t="s">
        <v>16</v>
      </c>
      <c r="W3">
        <f>SUMIF(Transactions!C$2:C$109,V3,Transactions!H$2:H$109)</f>
        <v>8692</v>
      </c>
      <c r="Y3" t="s">
        <v>16</v>
      </c>
      <c r="Z3">
        <f>SUMIF(Transactions!C$2:C$109,Y3,Transactions!H$2:H$109)</f>
        <v>8692</v>
      </c>
      <c r="AA3">
        <f>INDEX(Budget!N$2:N$7,MATCH(Y3,Budget!A$2:A$7,0))</f>
        <v>7800</v>
      </c>
    </row>
    <row r="4" spans="1:27" ht="15.7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R4" t="s">
        <v>127</v>
      </c>
      <c r="S4">
        <f>SUMIF(Transactions!F$2:F$109,R4,Transactions!G$2:G$109)</f>
        <v>11026</v>
      </c>
      <c r="T4">
        <f>SUMIF(Transactions!F$2:F$109,R4,Transactions!H$2:H$109)</f>
        <v>5869</v>
      </c>
      <c r="V4" t="s">
        <v>18</v>
      </c>
      <c r="W4">
        <f>SUMIF(Transactions!C$2:C$109,V4,Transactions!H$2:H$109)</f>
        <v>7064</v>
      </c>
      <c r="Y4" t="s">
        <v>18</v>
      </c>
      <c r="Z4">
        <f>SUMIF(Transactions!C$2:C$109,Y4,Transactions!H$2:H$109)</f>
        <v>7064</v>
      </c>
      <c r="AA4">
        <f>INDEX(Budget!N$2:N$7,MATCH(Y4,Budget!A$2:A$7,0))</f>
        <v>6000</v>
      </c>
    </row>
    <row r="5" spans="1:27" x14ac:dyDescent="0.2">
      <c r="A5" s="16" t="s">
        <v>142</v>
      </c>
      <c r="B5" s="16"/>
      <c r="C5" s="16"/>
      <c r="D5" s="20" t="s">
        <v>143</v>
      </c>
      <c r="E5" s="20"/>
      <c r="F5" s="20"/>
      <c r="G5" s="22" t="s">
        <v>144</v>
      </c>
      <c r="H5" s="22"/>
      <c r="I5" s="22"/>
      <c r="J5" s="24" t="s">
        <v>145</v>
      </c>
      <c r="K5" s="24"/>
      <c r="L5" s="24"/>
      <c r="M5" s="27" t="s">
        <v>146</v>
      </c>
      <c r="N5" s="27"/>
      <c r="O5" s="27"/>
      <c r="P5" s="27"/>
      <c r="R5" t="s">
        <v>128</v>
      </c>
      <c r="S5">
        <f>SUMIF(Transactions!F$2:F$109,R5,Transactions!G$2:G$109)</f>
        <v>11059</v>
      </c>
      <c r="T5">
        <f>SUMIF(Transactions!F$2:F$109,R5,Transactions!H$2:H$109)</f>
        <v>6336</v>
      </c>
      <c r="V5" t="s">
        <v>20</v>
      </c>
      <c r="W5">
        <f>SUMIF(Transactions!C$2:C$109,V5,Transactions!H$2:H$109)</f>
        <v>11402</v>
      </c>
      <c r="Y5" t="s">
        <v>20</v>
      </c>
      <c r="Z5">
        <f>SUMIF(Transactions!C$2:C$109,Y5,Transactions!H$2:H$109)</f>
        <v>11402</v>
      </c>
      <c r="AA5">
        <f>INDEX(Budget!N$2:N$7,MATCH(Y5,Budget!A$2:A$7,0))</f>
        <v>10800</v>
      </c>
    </row>
    <row r="6" spans="1:27" x14ac:dyDescent="0.2">
      <c r="A6" s="17">
        <f>SUM(Transactions!G2:G109)</f>
        <v>145235</v>
      </c>
      <c r="B6" s="18"/>
      <c r="C6" s="18"/>
      <c r="D6" s="17">
        <f>SUM(Transactions!H2:H109)</f>
        <v>75147</v>
      </c>
      <c r="E6" s="18"/>
      <c r="F6" s="18"/>
      <c r="G6" s="17">
        <f>SUM(Transactions!G2:G109)-SUM(Transactions!H2:H109)</f>
        <v>70088</v>
      </c>
      <c r="H6" s="18"/>
      <c r="I6" s="18"/>
      <c r="J6" s="25">
        <f>IFERROR((SUM(Transactions!G2:G109)-SUM(Transactions!H2:H109))/SUM(Transactions!G2:G109),0)</f>
        <v>0.48258339931834615</v>
      </c>
      <c r="K6" s="18"/>
      <c r="L6" s="18"/>
      <c r="M6" s="17">
        <f>SUM(Budget!N2:N7)</f>
        <v>76800</v>
      </c>
      <c r="N6" s="18"/>
      <c r="O6" s="18"/>
      <c r="P6" s="18"/>
      <c r="R6" t="s">
        <v>129</v>
      </c>
      <c r="S6">
        <f>SUMIF(Transactions!F$2:F$109,R6,Transactions!G$2:G$109)</f>
        <v>12727</v>
      </c>
      <c r="T6">
        <f>SUMIF(Transactions!F$2:F$109,R6,Transactions!H$2:H$109)</f>
        <v>6129</v>
      </c>
      <c r="V6" t="s">
        <v>22</v>
      </c>
      <c r="W6">
        <f>SUMIF(Transactions!C$2:C$109,V6,Transactions!H$2:H$109)</f>
        <v>6352</v>
      </c>
      <c r="Y6" t="s">
        <v>22</v>
      </c>
      <c r="Z6">
        <f>SUMIF(Transactions!C$2:C$109,Y6,Transactions!H$2:H$109)</f>
        <v>6352</v>
      </c>
      <c r="AA6">
        <f>INDEX(Budget!N$2:N$7,MATCH(Y6,Budget!A$2:A$7,0))</f>
        <v>6600</v>
      </c>
    </row>
    <row r="7" spans="1:27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R7" t="s">
        <v>130</v>
      </c>
      <c r="S7">
        <f>SUMIF(Transactions!F$2:F$109,R7,Transactions!G$2:G$109)</f>
        <v>10435</v>
      </c>
      <c r="T7">
        <f>SUMIF(Transactions!F$2:F$109,R7,Transactions!H$2:H$109)</f>
        <v>6220</v>
      </c>
      <c r="V7" t="s">
        <v>24</v>
      </c>
      <c r="W7">
        <f>SUMIF(Transactions!C$2:C$109,V7,Transactions!H$2:H$109)</f>
        <v>27990</v>
      </c>
      <c r="Y7" t="s">
        <v>24</v>
      </c>
      <c r="Z7">
        <f>SUMIF(Transactions!C$2:C$109,Y7,Transactions!H$2:H$109)</f>
        <v>27990</v>
      </c>
      <c r="AA7">
        <f>INDEX(Budget!N$2:N$7,MATCH(Y7,Budget!A$2:A$7,0))</f>
        <v>31800</v>
      </c>
    </row>
    <row r="8" spans="1:27" x14ac:dyDescent="0.2">
      <c r="A8" s="19"/>
      <c r="B8" s="19"/>
      <c r="C8" s="19"/>
      <c r="D8" s="21"/>
      <c r="E8" s="21"/>
      <c r="F8" s="21"/>
      <c r="G8" s="23"/>
      <c r="H8" s="23"/>
      <c r="I8" s="23"/>
      <c r="J8" s="26"/>
      <c r="K8" s="26"/>
      <c r="L8" s="26"/>
      <c r="M8" s="28"/>
      <c r="N8" s="28"/>
      <c r="O8" s="28"/>
      <c r="P8" s="28"/>
      <c r="R8" t="s">
        <v>131</v>
      </c>
      <c r="S8">
        <f>SUMIF(Transactions!F$2:F$109,R8,Transactions!G$2:G$109)</f>
        <v>12596</v>
      </c>
      <c r="T8">
        <f>SUMIF(Transactions!F$2:F$109,R8,Transactions!H$2:H$109)</f>
        <v>5913</v>
      </c>
    </row>
    <row r="9" spans="1:27" ht="15.7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R9" t="s">
        <v>132</v>
      </c>
      <c r="S9">
        <f>SUMIF(Transactions!F$2:F$109,R9,Transactions!G$2:G$109)</f>
        <v>14333</v>
      </c>
      <c r="T9">
        <f>SUMIF(Transactions!F$2:F$109,R9,Transactions!H$2:H$109)</f>
        <v>6712</v>
      </c>
    </row>
    <row r="10" spans="1:27" ht="15.75" x14ac:dyDescent="0.25">
      <c r="A10" s="29" t="s">
        <v>147</v>
      </c>
      <c r="B10" s="29"/>
      <c r="C10" s="29"/>
      <c r="D10" s="29"/>
      <c r="E10" s="29"/>
      <c r="F10" s="29"/>
      <c r="G10" s="29"/>
      <c r="H10" s="29"/>
      <c r="I10" s="29" t="s">
        <v>148</v>
      </c>
      <c r="J10" s="29"/>
      <c r="K10" s="29"/>
      <c r="L10" s="29"/>
      <c r="M10" s="29"/>
      <c r="N10" s="29"/>
      <c r="O10" s="29"/>
      <c r="P10" s="29"/>
      <c r="R10" t="s">
        <v>133</v>
      </c>
      <c r="S10">
        <f>SUMIF(Transactions!F$2:F$109,R10,Transactions!G$2:G$109)</f>
        <v>12264</v>
      </c>
      <c r="T10">
        <f>SUMIF(Transactions!F$2:F$109,R10,Transactions!H$2:H$109)</f>
        <v>6548</v>
      </c>
    </row>
    <row r="11" spans="1:27" ht="15.7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R11" t="s">
        <v>134</v>
      </c>
      <c r="S11">
        <f>SUMIF(Transactions!F$2:F$109,R11,Transactions!G$2:G$109)</f>
        <v>11378</v>
      </c>
      <c r="T11">
        <f>SUMIF(Transactions!F$2:F$109,R11,Transactions!H$2:H$109)</f>
        <v>6724</v>
      </c>
    </row>
    <row r="12" spans="1:27" ht="15.7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R12" t="s">
        <v>135</v>
      </c>
      <c r="S12">
        <f>SUMIF(Transactions!F$2:F$109,R12,Transactions!G$2:G$109)</f>
        <v>12926</v>
      </c>
      <c r="T12">
        <f>SUMIF(Transactions!F$2:F$109,R12,Transactions!H$2:H$109)</f>
        <v>6732</v>
      </c>
    </row>
    <row r="13" spans="1:27" ht="15.7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R13" t="s">
        <v>136</v>
      </c>
      <c r="S13">
        <f>SUMIF(Transactions!F$2:F$109,R13,Transactions!G$2:G$109)</f>
        <v>12131</v>
      </c>
      <c r="T13">
        <f>SUMIF(Transactions!F$2:F$109,R13,Transactions!H$2:H$109)</f>
        <v>6915</v>
      </c>
    </row>
    <row r="14" spans="1:27" ht="15.7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27" ht="15.7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27" ht="15.75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ht="15.75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ht="15.75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ht="15.75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ht="15.75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ht="15.75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ht="15.75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ht="15.75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ht="15.75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ht="15.75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ht="15.75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ht="15.75" x14ac:dyDescent="0.25">
      <c r="A27" s="29" t="s">
        <v>149</v>
      </c>
      <c r="B27" s="29"/>
      <c r="C27" s="29"/>
      <c r="D27" s="29"/>
      <c r="E27" s="29"/>
      <c r="F27" s="29"/>
      <c r="G27" s="29"/>
      <c r="H27" s="29"/>
      <c r="I27" s="29" t="s">
        <v>150</v>
      </c>
      <c r="J27" s="29"/>
      <c r="K27" s="29"/>
      <c r="L27" s="29"/>
      <c r="M27" s="29"/>
      <c r="N27" s="29"/>
      <c r="O27" s="29"/>
      <c r="P27" s="29"/>
    </row>
    <row r="28" spans="1:16" ht="15.75" x14ac:dyDescent="0.25">
      <c r="A28" s="8"/>
      <c r="B28" s="8"/>
      <c r="C28" s="8"/>
      <c r="D28" s="8"/>
      <c r="E28" s="8"/>
      <c r="F28" s="8"/>
      <c r="G28" s="8"/>
      <c r="H28" s="8"/>
      <c r="I28" s="40" t="s">
        <v>151</v>
      </c>
      <c r="J28" s="40"/>
      <c r="K28" s="40"/>
      <c r="L28" s="40"/>
      <c r="M28" s="40" t="s">
        <v>152</v>
      </c>
      <c r="N28" s="40"/>
      <c r="O28" s="40"/>
      <c r="P28" s="40"/>
    </row>
    <row r="29" spans="1:16" ht="15.75" x14ac:dyDescent="0.25">
      <c r="A29" s="8"/>
      <c r="B29" s="8"/>
      <c r="C29" s="8"/>
      <c r="D29" s="8"/>
      <c r="E29" s="8"/>
      <c r="F29" s="8"/>
      <c r="G29" s="8"/>
      <c r="H29" s="8"/>
      <c r="I29" s="30" t="str">
        <f>INDEX(V2:V7,MATCH(MAX(W2:W7),W2:W7,0))</f>
        <v>Payroll</v>
      </c>
      <c r="J29" s="30"/>
      <c r="K29" s="30"/>
      <c r="L29" s="30"/>
      <c r="M29" s="32" t="e">
        <f>INDEX(R2:R13,MATCH(MAX(S2:S13-T2:T13),S2:S13-T2:T13,0))</f>
        <v>#VALUE!</v>
      </c>
      <c r="N29" s="32"/>
      <c r="O29" s="32"/>
      <c r="P29" s="32"/>
    </row>
    <row r="30" spans="1:16" ht="15.75" x14ac:dyDescent="0.25">
      <c r="A30" s="8"/>
      <c r="B30" s="8"/>
      <c r="C30" s="8"/>
      <c r="D30" s="8"/>
      <c r="E30" s="8"/>
      <c r="F30" s="8"/>
      <c r="G30" s="8"/>
      <c r="H30" s="8"/>
      <c r="I30" s="30"/>
      <c r="J30" s="30"/>
      <c r="K30" s="30"/>
      <c r="L30" s="30"/>
      <c r="M30" s="32"/>
      <c r="N30" s="32"/>
      <c r="O30" s="32"/>
      <c r="P30" s="32"/>
    </row>
    <row r="31" spans="1:16" ht="15.75" x14ac:dyDescent="0.25">
      <c r="A31" s="8"/>
      <c r="B31" s="8"/>
      <c r="C31" s="8"/>
      <c r="D31" s="8"/>
      <c r="E31" s="8"/>
      <c r="F31" s="8"/>
      <c r="G31" s="8"/>
      <c r="H31" s="8"/>
      <c r="I31" s="31"/>
      <c r="J31" s="31"/>
      <c r="K31" s="31"/>
      <c r="L31" s="31"/>
      <c r="M31" s="33"/>
      <c r="N31" s="33"/>
      <c r="O31" s="33"/>
      <c r="P31" s="33"/>
    </row>
    <row r="32" spans="1:16" ht="15.75" x14ac:dyDescent="0.25">
      <c r="A32" s="8"/>
      <c r="B32" s="8"/>
      <c r="C32" s="8"/>
      <c r="D32" s="8"/>
      <c r="E32" s="8"/>
      <c r="F32" s="8"/>
      <c r="G32" s="8"/>
      <c r="H32" s="8"/>
      <c r="I32" s="40" t="s">
        <v>153</v>
      </c>
      <c r="J32" s="40"/>
      <c r="K32" s="40"/>
      <c r="L32" s="40"/>
      <c r="M32" s="40" t="s">
        <v>154</v>
      </c>
      <c r="N32" s="40"/>
      <c r="O32" s="40"/>
      <c r="P32" s="40"/>
    </row>
    <row r="33" spans="1:16" ht="15.75" x14ac:dyDescent="0.25">
      <c r="A33" s="8"/>
      <c r="B33" s="8"/>
      <c r="C33" s="8"/>
      <c r="D33" s="8"/>
      <c r="E33" s="8"/>
      <c r="F33" s="8"/>
      <c r="G33" s="8"/>
      <c r="H33" s="8"/>
      <c r="I33" s="34">
        <f>AVERAGE(T2:T13)</f>
        <v>6262.25</v>
      </c>
      <c r="J33" s="35"/>
      <c r="K33" s="35"/>
      <c r="L33" s="35"/>
      <c r="M33" s="37">
        <f>IFERROR(SUM(W2:W7)/SUM(AA2:AA7),0)</f>
        <v>0.97847656250000004</v>
      </c>
      <c r="N33" s="38"/>
      <c r="O33" s="38"/>
      <c r="P33" s="38"/>
    </row>
    <row r="34" spans="1:16" ht="15.75" x14ac:dyDescent="0.25">
      <c r="A34" s="8"/>
      <c r="B34" s="8"/>
      <c r="C34" s="8"/>
      <c r="D34" s="8"/>
      <c r="E34" s="8"/>
      <c r="F34" s="8"/>
      <c r="G34" s="8"/>
      <c r="H34" s="8"/>
      <c r="I34" s="35"/>
      <c r="J34" s="35"/>
      <c r="K34" s="35"/>
      <c r="L34" s="35"/>
      <c r="M34" s="38"/>
      <c r="N34" s="38"/>
      <c r="O34" s="38"/>
      <c r="P34" s="38"/>
    </row>
    <row r="35" spans="1:16" ht="15.75" x14ac:dyDescent="0.25">
      <c r="A35" s="8"/>
      <c r="B35" s="8"/>
      <c r="C35" s="8"/>
      <c r="D35" s="8"/>
      <c r="E35" s="8"/>
      <c r="F35" s="8"/>
      <c r="G35" s="8"/>
      <c r="H35" s="8"/>
      <c r="I35" s="36"/>
      <c r="J35" s="36"/>
      <c r="K35" s="36"/>
      <c r="L35" s="36"/>
      <c r="M35" s="39"/>
      <c r="N35" s="39"/>
      <c r="O35" s="39"/>
      <c r="P35" s="39"/>
    </row>
    <row r="36" spans="1:16" ht="15.7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ht="15.75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ht="15.75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ht="15.75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ht="15.7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ht="15.75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ht="15.75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ht="15.75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 x14ac:dyDescent="0.2">
      <c r="A44" s="41" t="s">
        <v>155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</row>
    <row r="45" spans="1:16" x14ac:dyDescent="0.2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</row>
  </sheetData>
  <mergeCells count="25">
    <mergeCell ref="A44:P45"/>
    <mergeCell ref="I33:L35"/>
    <mergeCell ref="M33:P35"/>
    <mergeCell ref="I28:L28"/>
    <mergeCell ref="M28:P28"/>
    <mergeCell ref="I32:L32"/>
    <mergeCell ref="M32:P32"/>
    <mergeCell ref="A10:H10"/>
    <mergeCell ref="I10:P10"/>
    <mergeCell ref="A27:H27"/>
    <mergeCell ref="I27:P27"/>
    <mergeCell ref="I29:L31"/>
    <mergeCell ref="M29:P31"/>
    <mergeCell ref="A1:P2"/>
    <mergeCell ref="A3:P3"/>
    <mergeCell ref="A5:C5"/>
    <mergeCell ref="A6:C8"/>
    <mergeCell ref="D5:F5"/>
    <mergeCell ref="D6:F8"/>
    <mergeCell ref="G5:I5"/>
    <mergeCell ref="G6:I8"/>
    <mergeCell ref="J5:L5"/>
    <mergeCell ref="J6:L8"/>
    <mergeCell ref="M5:P5"/>
    <mergeCell ref="M6:P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zoomScaleNormal="60" zoomScaleSheetLayoutView="100" workbookViewId="0"/>
  </sheetViews>
  <sheetFormatPr defaultRowHeight="15" x14ac:dyDescent="0.2"/>
  <cols>
    <col min="1" max="1" width="14.9296875" customWidth="1"/>
    <col min="2" max="2" width="11.97265625" customWidth="1"/>
    <col min="3" max="3" width="18.0234375" customWidth="1"/>
    <col min="4" max="4" width="29.99609375" customWidth="1"/>
    <col min="5" max="5" width="14.9296875" customWidth="1"/>
    <col min="6" max="6" width="16.0078125" customWidth="1"/>
  </cols>
  <sheetData>
    <row r="1" spans="1:6" x14ac:dyDescent="0.2">
      <c r="A1" s="42" t="s">
        <v>156</v>
      </c>
      <c r="B1" s="42"/>
      <c r="C1" s="42"/>
      <c r="D1" s="42"/>
      <c r="E1" s="42"/>
      <c r="F1" s="42"/>
    </row>
    <row r="2" spans="1:6" x14ac:dyDescent="0.2">
      <c r="A2" s="42"/>
      <c r="B2" s="42"/>
      <c r="C2" s="42"/>
      <c r="D2" s="42"/>
      <c r="E2" s="42"/>
      <c r="F2" s="42"/>
    </row>
    <row r="3" spans="1:6" x14ac:dyDescent="0.2">
      <c r="A3" s="7"/>
      <c r="B3" s="7"/>
      <c r="C3" s="7"/>
      <c r="D3" s="7"/>
      <c r="E3" s="7"/>
      <c r="F3" s="7"/>
    </row>
    <row r="4" spans="1:6" x14ac:dyDescent="0.2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157</v>
      </c>
    </row>
    <row r="5" spans="1:6" x14ac:dyDescent="0.2">
      <c r="A5" s="11"/>
      <c r="B5" s="7"/>
      <c r="C5" s="7"/>
      <c r="D5" s="7"/>
      <c r="E5" s="12"/>
      <c r="F5" s="7"/>
    </row>
    <row r="6" spans="1:6" x14ac:dyDescent="0.2">
      <c r="A6" s="11"/>
      <c r="B6" s="7"/>
      <c r="C6" s="7"/>
      <c r="D6" s="7"/>
      <c r="E6" s="12"/>
      <c r="F6" s="7"/>
    </row>
    <row r="7" spans="1:6" x14ac:dyDescent="0.2">
      <c r="A7" s="11"/>
      <c r="B7" s="7"/>
      <c r="C7" s="7"/>
      <c r="D7" s="7"/>
      <c r="E7" s="12"/>
      <c r="F7" s="7"/>
    </row>
    <row r="8" spans="1:6" x14ac:dyDescent="0.2">
      <c r="A8" s="11"/>
      <c r="B8" s="7"/>
      <c r="C8" s="7"/>
      <c r="D8" s="7"/>
      <c r="E8" s="12"/>
      <c r="F8" s="7"/>
    </row>
    <row r="9" spans="1:6" x14ac:dyDescent="0.2">
      <c r="A9" s="11"/>
      <c r="B9" s="7"/>
      <c r="C9" s="7"/>
      <c r="D9" s="7"/>
      <c r="E9" s="12"/>
      <c r="F9" s="7"/>
    </row>
    <row r="10" spans="1:6" x14ac:dyDescent="0.2">
      <c r="A10" s="11"/>
      <c r="B10" s="7"/>
      <c r="C10" s="7"/>
      <c r="D10" s="7"/>
      <c r="E10" s="12"/>
      <c r="F10" s="7"/>
    </row>
    <row r="11" spans="1:6" x14ac:dyDescent="0.2">
      <c r="A11" s="11"/>
      <c r="B11" s="7"/>
      <c r="C11" s="7"/>
      <c r="D11" s="7"/>
      <c r="E11" s="12"/>
      <c r="F11" s="7"/>
    </row>
    <row r="12" spans="1:6" x14ac:dyDescent="0.2">
      <c r="A12" s="11"/>
      <c r="B12" s="7"/>
      <c r="C12" s="7"/>
      <c r="D12" s="7"/>
      <c r="E12" s="12"/>
      <c r="F12" s="7"/>
    </row>
    <row r="13" spans="1:6" x14ac:dyDescent="0.2">
      <c r="A13" s="11"/>
      <c r="B13" s="7"/>
      <c r="C13" s="7"/>
      <c r="D13" s="7"/>
      <c r="E13" s="12"/>
      <c r="F13" s="7"/>
    </row>
    <row r="14" spans="1:6" x14ac:dyDescent="0.2">
      <c r="A14" s="11"/>
      <c r="B14" s="7"/>
      <c r="C14" s="7"/>
      <c r="D14" s="7"/>
      <c r="E14" s="12"/>
      <c r="F14" s="7"/>
    </row>
    <row r="15" spans="1:6" x14ac:dyDescent="0.2">
      <c r="A15" s="11"/>
      <c r="B15" s="7"/>
      <c r="C15" s="7"/>
      <c r="D15" s="7"/>
      <c r="E15" s="12"/>
      <c r="F15" s="7"/>
    </row>
    <row r="16" spans="1:6" x14ac:dyDescent="0.2">
      <c r="A16" s="11"/>
      <c r="B16" s="7"/>
      <c r="C16" s="7"/>
      <c r="D16" s="7"/>
      <c r="E16" s="12"/>
      <c r="F16" s="7"/>
    </row>
    <row r="17" spans="1:6" x14ac:dyDescent="0.2">
      <c r="A17" s="11"/>
      <c r="B17" s="7"/>
      <c r="C17" s="7"/>
      <c r="D17" s="7"/>
      <c r="E17" s="12"/>
      <c r="F17" s="7"/>
    </row>
    <row r="18" spans="1:6" x14ac:dyDescent="0.2">
      <c r="A18" s="11"/>
      <c r="B18" s="7"/>
      <c r="C18" s="7"/>
      <c r="D18" s="7"/>
      <c r="E18" s="12"/>
      <c r="F18" s="7"/>
    </row>
    <row r="19" spans="1:6" x14ac:dyDescent="0.2">
      <c r="A19" s="11"/>
      <c r="B19" s="7"/>
      <c r="C19" s="7"/>
      <c r="D19" s="7"/>
      <c r="E19" s="12"/>
      <c r="F19" s="7"/>
    </row>
    <row r="20" spans="1:6" x14ac:dyDescent="0.2">
      <c r="A20" s="11"/>
      <c r="B20" s="7"/>
      <c r="C20" s="7"/>
      <c r="D20" s="7"/>
      <c r="E20" s="12"/>
      <c r="F20" s="7"/>
    </row>
    <row r="21" spans="1:6" x14ac:dyDescent="0.2">
      <c r="A21" s="11"/>
      <c r="B21" s="7"/>
      <c r="C21" s="7"/>
      <c r="D21" s="7"/>
      <c r="E21" s="12"/>
      <c r="F21" s="7"/>
    </row>
    <row r="22" spans="1:6" x14ac:dyDescent="0.2">
      <c r="A22" s="11"/>
      <c r="B22" s="7"/>
      <c r="C22" s="7"/>
      <c r="D22" s="7"/>
      <c r="E22" s="12"/>
      <c r="F22" s="7"/>
    </row>
    <row r="23" spans="1:6" x14ac:dyDescent="0.2">
      <c r="A23" s="11"/>
      <c r="B23" s="7"/>
      <c r="C23" s="7"/>
      <c r="D23" s="7"/>
      <c r="E23" s="12"/>
      <c r="F23" s="7"/>
    </row>
    <row r="24" spans="1:6" x14ac:dyDescent="0.2">
      <c r="A24" s="11"/>
      <c r="B24" s="7"/>
      <c r="C24" s="7"/>
      <c r="D24" s="7"/>
      <c r="E24" s="12"/>
      <c r="F24" s="7"/>
    </row>
    <row r="25" spans="1:6" x14ac:dyDescent="0.2">
      <c r="A25" s="11"/>
      <c r="B25" s="7"/>
      <c r="C25" s="7"/>
      <c r="D25" s="7"/>
      <c r="E25" s="12"/>
      <c r="F25" s="7"/>
    </row>
    <row r="26" spans="1:6" x14ac:dyDescent="0.2">
      <c r="A26" s="11"/>
      <c r="B26" s="7"/>
      <c r="C26" s="7"/>
      <c r="D26" s="7"/>
      <c r="E26" s="12"/>
      <c r="F26" s="7"/>
    </row>
    <row r="27" spans="1:6" x14ac:dyDescent="0.2">
      <c r="A27" s="11"/>
      <c r="B27" s="7"/>
      <c r="C27" s="7"/>
      <c r="D27" s="7"/>
      <c r="E27" s="12"/>
      <c r="F27" s="7"/>
    </row>
    <row r="28" spans="1:6" x14ac:dyDescent="0.2">
      <c r="A28" s="11"/>
      <c r="B28" s="7"/>
      <c r="C28" s="7"/>
      <c r="D28" s="7"/>
      <c r="E28" s="12"/>
      <c r="F28" s="7"/>
    </row>
    <row r="29" spans="1:6" x14ac:dyDescent="0.2">
      <c r="A29" s="11"/>
      <c r="B29" s="7"/>
      <c r="C29" s="7"/>
      <c r="D29" s="7"/>
      <c r="E29" s="12"/>
      <c r="F29" s="7"/>
    </row>
    <row r="30" spans="1:6" x14ac:dyDescent="0.2">
      <c r="A30" s="7"/>
      <c r="B30" s="7"/>
      <c r="C30" s="7"/>
      <c r="D30" s="7"/>
      <c r="E30" s="7"/>
      <c r="F30" s="7"/>
    </row>
    <row r="31" spans="1:6" x14ac:dyDescent="0.2">
      <c r="A31" s="7"/>
      <c r="B31" s="7"/>
      <c r="C31" s="7"/>
      <c r="D31" s="7"/>
      <c r="E31" s="7"/>
      <c r="F31" s="7"/>
    </row>
    <row r="32" spans="1:6" x14ac:dyDescent="0.2">
      <c r="A32" s="7"/>
      <c r="B32" s="7"/>
      <c r="C32" s="7"/>
      <c r="D32" s="7"/>
      <c r="E32" s="7"/>
      <c r="F32" s="7"/>
    </row>
    <row r="33" spans="1:6" x14ac:dyDescent="0.2">
      <c r="A33" s="7"/>
      <c r="B33" s="7"/>
      <c r="C33" s="7"/>
      <c r="D33" s="7"/>
      <c r="E33" s="7"/>
      <c r="F33" s="7"/>
    </row>
    <row r="34" spans="1:6" x14ac:dyDescent="0.2">
      <c r="A34" s="7"/>
      <c r="B34" s="7"/>
      <c r="C34" s="7"/>
      <c r="D34" s="7"/>
      <c r="E34" s="7"/>
      <c r="F34" s="7"/>
    </row>
    <row r="35" spans="1:6" x14ac:dyDescent="0.2">
      <c r="A35" s="7"/>
      <c r="B35" s="7"/>
      <c r="C35" s="7"/>
      <c r="D35" s="7"/>
      <c r="E35" s="7"/>
      <c r="F35" s="7"/>
    </row>
  </sheetData>
  <mergeCells count="1">
    <mergeCell ref="A1:F2"/>
  </mergeCells>
  <conditionalFormatting sqref="F5:F29">
    <cfRule type="expression" dxfId="2" priority="1">
      <formula>F5="New"</formula>
    </cfRule>
    <cfRule type="expression" dxfId="1" priority="2">
      <formula>F5="Reviewed"</formula>
    </cfRule>
    <cfRule type="expression" dxfId="0" priority="3">
      <formula>F5="Posted"</formula>
    </cfRule>
  </conditionalFormatting>
  <dataValidations count="2">
    <dataValidation type="list" sqref="B5:B29" xr:uid="{00000000-0002-0000-0300-000000000000}">
      <formula1>"Income,Expense"</formula1>
    </dataValidation>
    <dataValidation type="list" sqref="F5:F29" xr:uid="{00000000-0002-0000-0300-000001000000}">
      <formula1>"New,Reviewed,Posted"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tabSelected="1" zoomScaleNormal="60" zoomScaleSheetLayoutView="100" workbookViewId="0"/>
  </sheetViews>
  <sheetFormatPr defaultRowHeight="15" x14ac:dyDescent="0.2"/>
  <cols>
    <col min="1" max="1" width="6.05078125" customWidth="1"/>
    <col min="2" max="8" width="16.0078125" customWidth="1"/>
  </cols>
  <sheetData>
    <row r="1" spans="1:8" x14ac:dyDescent="0.2">
      <c r="A1" s="43" t="s">
        <v>158</v>
      </c>
      <c r="B1" s="43"/>
      <c r="C1" s="43"/>
      <c r="D1" s="43"/>
      <c r="E1" s="43"/>
      <c r="F1" s="43"/>
      <c r="G1" s="43"/>
      <c r="H1" s="43"/>
    </row>
    <row r="2" spans="1:8" x14ac:dyDescent="0.2">
      <c r="A2" s="43"/>
      <c r="B2" s="43"/>
      <c r="C2" s="43"/>
      <c r="D2" s="43"/>
      <c r="E2" s="43"/>
      <c r="F2" s="43"/>
      <c r="G2" s="43"/>
      <c r="H2" s="43"/>
    </row>
    <row r="3" spans="1:8" x14ac:dyDescent="0.2">
      <c r="A3" s="7"/>
      <c r="B3" s="7"/>
      <c r="C3" s="7"/>
      <c r="D3" s="7"/>
      <c r="E3" s="7"/>
      <c r="F3" s="7"/>
      <c r="G3" s="7"/>
      <c r="H3" s="7"/>
    </row>
    <row r="4" spans="1:8" x14ac:dyDescent="0.2">
      <c r="A4" s="44" t="s">
        <v>159</v>
      </c>
      <c r="B4" s="44"/>
      <c r="C4" s="44"/>
      <c r="D4" s="44"/>
      <c r="E4" s="44"/>
      <c r="F4" s="44"/>
      <c r="G4" s="44"/>
      <c r="H4" s="44"/>
    </row>
    <row r="5" spans="1:8" x14ac:dyDescent="0.2">
      <c r="A5" s="44"/>
      <c r="B5" s="44"/>
      <c r="C5" s="44"/>
      <c r="D5" s="44"/>
      <c r="E5" s="44"/>
      <c r="F5" s="44"/>
      <c r="G5" s="44"/>
      <c r="H5" s="44"/>
    </row>
    <row r="6" spans="1:8" x14ac:dyDescent="0.2">
      <c r="A6" s="7"/>
      <c r="B6" s="7"/>
      <c r="C6" s="7"/>
      <c r="D6" s="7"/>
      <c r="E6" s="7"/>
      <c r="F6" s="7"/>
      <c r="G6" s="7"/>
      <c r="H6" s="7"/>
    </row>
    <row r="7" spans="1:8" x14ac:dyDescent="0.2">
      <c r="A7" s="9" t="s">
        <v>160</v>
      </c>
      <c r="B7" s="9"/>
      <c r="C7" s="9"/>
      <c r="D7" s="9"/>
      <c r="E7" s="9"/>
      <c r="F7" s="9"/>
      <c r="G7" s="9"/>
      <c r="H7" s="9"/>
    </row>
    <row r="8" spans="1:8" x14ac:dyDescent="0.2">
      <c r="A8" s="7" t="s">
        <v>161</v>
      </c>
      <c r="B8" s="7" t="s">
        <v>162</v>
      </c>
      <c r="C8" s="7"/>
      <c r="D8" s="7"/>
      <c r="E8" s="7"/>
      <c r="F8" s="7"/>
      <c r="G8" s="7"/>
      <c r="H8" s="7"/>
    </row>
    <row r="9" spans="1:8" x14ac:dyDescent="0.2">
      <c r="A9" s="7" t="s">
        <v>163</v>
      </c>
      <c r="B9" s="7" t="s">
        <v>164</v>
      </c>
      <c r="C9" s="7"/>
      <c r="D9" s="7"/>
      <c r="E9" s="7"/>
      <c r="F9" s="7"/>
      <c r="G9" s="7"/>
      <c r="H9" s="7"/>
    </row>
    <row r="10" spans="1:8" x14ac:dyDescent="0.2">
      <c r="A10" s="7" t="s">
        <v>165</v>
      </c>
      <c r="B10" s="7" t="s">
        <v>166</v>
      </c>
      <c r="C10" s="7"/>
      <c r="D10" s="7"/>
      <c r="E10" s="7"/>
      <c r="F10" s="7"/>
      <c r="G10" s="7"/>
      <c r="H10" s="7"/>
    </row>
    <row r="11" spans="1:8" x14ac:dyDescent="0.2">
      <c r="A11" s="7" t="s">
        <v>167</v>
      </c>
      <c r="B11" s="7" t="s">
        <v>168</v>
      </c>
      <c r="C11" s="7"/>
      <c r="D11" s="7"/>
      <c r="E11" s="7"/>
      <c r="F11" s="7"/>
      <c r="G11" s="7"/>
      <c r="H11" s="7"/>
    </row>
    <row r="12" spans="1:8" x14ac:dyDescent="0.2">
      <c r="A12" s="7"/>
      <c r="B12" s="7"/>
      <c r="C12" s="7"/>
      <c r="D12" s="7"/>
      <c r="E12" s="7"/>
      <c r="F12" s="7"/>
      <c r="G12" s="7"/>
      <c r="H12" s="7"/>
    </row>
    <row r="13" spans="1:8" x14ac:dyDescent="0.2">
      <c r="A13" s="13" t="s">
        <v>169</v>
      </c>
      <c r="B13" s="13"/>
      <c r="C13" s="13"/>
      <c r="D13" s="13"/>
      <c r="E13" s="13"/>
      <c r="F13" s="13"/>
      <c r="G13" s="13"/>
      <c r="H13" s="13"/>
    </row>
    <row r="14" spans="1:8" x14ac:dyDescent="0.2">
      <c r="A14" s="7" t="s">
        <v>170</v>
      </c>
      <c r="B14" s="7" t="s">
        <v>171</v>
      </c>
      <c r="C14" s="7"/>
      <c r="D14" s="7"/>
      <c r="E14" s="7"/>
      <c r="F14" s="7"/>
      <c r="G14" s="7"/>
      <c r="H14" s="7"/>
    </row>
    <row r="15" spans="1:8" x14ac:dyDescent="0.2">
      <c r="A15" s="7" t="s">
        <v>170</v>
      </c>
      <c r="B15" s="7" t="s">
        <v>172</v>
      </c>
      <c r="C15" s="7"/>
      <c r="D15" s="7"/>
      <c r="E15" s="7"/>
      <c r="F15" s="7"/>
      <c r="G15" s="7"/>
      <c r="H15" s="7"/>
    </row>
    <row r="16" spans="1:8" x14ac:dyDescent="0.2">
      <c r="A16" s="7"/>
      <c r="B16" s="7"/>
      <c r="C16" s="7"/>
      <c r="D16" s="7"/>
      <c r="E16" s="7"/>
      <c r="F16" s="7"/>
      <c r="G16" s="7"/>
      <c r="H16" s="7"/>
    </row>
    <row r="17" spans="1:8" x14ac:dyDescent="0.2">
      <c r="A17" s="7"/>
      <c r="B17" s="7"/>
      <c r="C17" s="7"/>
      <c r="D17" s="7"/>
      <c r="E17" s="7"/>
      <c r="F17" s="7"/>
      <c r="G17" s="7"/>
      <c r="H17" s="7"/>
    </row>
    <row r="18" spans="1:8" x14ac:dyDescent="0.2">
      <c r="A18" s="7"/>
      <c r="B18" s="7"/>
      <c r="C18" s="7"/>
      <c r="D18" s="7"/>
      <c r="E18" s="7"/>
      <c r="F18" s="7"/>
      <c r="G18" s="7"/>
      <c r="H18" s="7"/>
    </row>
    <row r="19" spans="1:8" x14ac:dyDescent="0.2">
      <c r="A19" s="7"/>
      <c r="B19" s="7"/>
      <c r="C19" s="7"/>
      <c r="D19" s="7"/>
      <c r="E19" s="7"/>
      <c r="F19" s="7"/>
      <c r="G19" s="7"/>
      <c r="H19" s="7"/>
    </row>
    <row r="20" spans="1:8" x14ac:dyDescent="0.2">
      <c r="A20" s="7"/>
      <c r="B20" s="7"/>
      <c r="C20" s="7"/>
      <c r="D20" s="7"/>
      <c r="E20" s="7"/>
      <c r="F20" s="7"/>
      <c r="G20" s="7"/>
      <c r="H20" s="7"/>
    </row>
    <row r="21" spans="1:8" x14ac:dyDescent="0.2">
      <c r="A21" s="7"/>
      <c r="B21" s="7"/>
      <c r="C21" s="7"/>
      <c r="D21" s="7"/>
      <c r="E21" s="7"/>
      <c r="F21" s="7"/>
      <c r="G21" s="7"/>
      <c r="H21" s="7"/>
    </row>
    <row r="22" spans="1:8" x14ac:dyDescent="0.2">
      <c r="A22" s="7"/>
      <c r="B22" s="7"/>
      <c r="C22" s="7"/>
      <c r="D22" s="7"/>
      <c r="E22" s="7"/>
      <c r="F22" s="7"/>
      <c r="G22" s="7"/>
      <c r="H22" s="7"/>
    </row>
    <row r="23" spans="1:8" x14ac:dyDescent="0.2">
      <c r="A23" s="7"/>
      <c r="B23" s="7"/>
      <c r="C23" s="7"/>
      <c r="D23" s="7"/>
      <c r="E23" s="7"/>
      <c r="F23" s="7"/>
      <c r="G23" s="7"/>
      <c r="H23" s="7"/>
    </row>
    <row r="24" spans="1:8" x14ac:dyDescent="0.2">
      <c r="A24" s="7"/>
      <c r="B24" s="7"/>
      <c r="C24" s="7"/>
      <c r="D24" s="7"/>
      <c r="E24" s="7"/>
      <c r="F24" s="7"/>
      <c r="G24" s="7"/>
      <c r="H24" s="7"/>
    </row>
  </sheetData>
  <mergeCells count="2">
    <mergeCell ref="A1:H2"/>
    <mergeCell ref="A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Transactions</vt:lpstr>
      <vt:lpstr>Budget</vt:lpstr>
      <vt:lpstr>Financial Dashboard</vt:lpstr>
      <vt:lpstr>Data Entry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 mohammadi</dc:creator>
  <dcterms:created xsi:type="dcterms:W3CDTF">2026-09-30T17:22:48Z</dcterms:created>
</cp:coreProperties>
</file>